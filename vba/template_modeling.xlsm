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87a822ff83b5167/DEVELOPMENT/"/>
    </mc:Choice>
  </mc:AlternateContent>
  <xr:revisionPtr revIDLastSave="498" documentId="8_{8DE4BB99-BA98-4927-BD8A-8A5A2D7A4088}" xr6:coauthVersionLast="47" xr6:coauthVersionMax="47" xr10:uidLastSave="{B6E97EFC-44BA-4FB9-95B8-B1274C54DD42}"/>
  <bookViews>
    <workbookView xWindow="-120" yWindow="-120" windowWidth="29040" windowHeight="15720" xr2:uid="{F50E2AF7-F390-4B3B-855F-2B527A0E297B}"/>
  </bookViews>
  <sheets>
    <sheet name="Model " sheetId="6" r:id="rId1"/>
    <sheet name="Model control pH" sheetId="1" r:id="rId2"/>
    <sheet name="Weather_data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7" i="1" l="1"/>
  <c r="G35" i="1"/>
  <c r="I8" i="6"/>
  <c r="H8" i="6"/>
  <c r="G8" i="6"/>
  <c r="F8" i="6"/>
  <c r="E8" i="6"/>
  <c r="D8" i="6"/>
  <c r="D8" i="1"/>
  <c r="D10" i="1" s="1"/>
  <c r="D11" i="1" s="1"/>
  <c r="D14" i="1" s="1"/>
  <c r="D19" i="1" s="1"/>
  <c r="D22" i="6"/>
  <c r="D21" i="6"/>
  <c r="I14" i="6"/>
  <c r="H14" i="6"/>
  <c r="G14" i="6"/>
  <c r="F14" i="6"/>
  <c r="E14" i="6"/>
  <c r="D14" i="6"/>
  <c r="I13" i="6"/>
  <c r="I18" i="6" s="1"/>
  <c r="H13" i="6"/>
  <c r="G13" i="6"/>
  <c r="F13" i="6"/>
  <c r="E13" i="6"/>
  <c r="E18" i="6" s="1"/>
  <c r="D13" i="6"/>
  <c r="I12" i="6"/>
  <c r="H12" i="6"/>
  <c r="G12" i="6"/>
  <c r="G18" i="6" s="1"/>
  <c r="F12" i="6"/>
  <c r="E12" i="6"/>
  <c r="D12" i="6"/>
  <c r="I11" i="6"/>
  <c r="H11" i="6"/>
  <c r="G11" i="6"/>
  <c r="F11" i="6"/>
  <c r="E11" i="6"/>
  <c r="D11" i="6"/>
  <c r="I10" i="6"/>
  <c r="H10" i="6"/>
  <c r="G10" i="6"/>
  <c r="F10" i="6"/>
  <c r="E10" i="6"/>
  <c r="D10" i="6"/>
  <c r="I9" i="6"/>
  <c r="H9" i="6"/>
  <c r="G9" i="6"/>
  <c r="F9" i="6"/>
  <c r="E9" i="6"/>
  <c r="D9" i="6"/>
  <c r="D23" i="1"/>
  <c r="D22" i="1"/>
  <c r="I15" i="1"/>
  <c r="H15" i="1"/>
  <c r="G15" i="1"/>
  <c r="F15" i="1"/>
  <c r="E15" i="1"/>
  <c r="D15" i="1"/>
  <c r="I13" i="1"/>
  <c r="H13" i="1"/>
  <c r="G13" i="1"/>
  <c r="F13" i="1"/>
  <c r="E13" i="1"/>
  <c r="D13" i="1"/>
  <c r="I12" i="1"/>
  <c r="H12" i="1"/>
  <c r="G12" i="1"/>
  <c r="F12" i="1"/>
  <c r="E12" i="1"/>
  <c r="D12" i="1"/>
  <c r="I9" i="1"/>
  <c r="H9" i="1"/>
  <c r="G9" i="1"/>
  <c r="F9" i="1"/>
  <c r="E9" i="1"/>
  <c r="D9" i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H4" i="2" a="1"/>
  <c r="H6" i="2" a="1"/>
  <c r="H8" i="2" a="1"/>
  <c r="H10" i="2" a="1"/>
  <c r="H12" i="2" a="1"/>
  <c r="H14" i="2" a="1"/>
  <c r="H16" i="2" a="1"/>
  <c r="H5" i="2" a="1"/>
  <c r="H7" i="2" a="1"/>
  <c r="H9" i="2" a="1"/>
  <c r="H11" i="2" a="1"/>
  <c r="H13" i="2" a="1"/>
  <c r="H15" i="2" a="1"/>
  <c r="H17" i="2" a="1"/>
  <c r="H19" i="2" a="1"/>
  <c r="H21" i="2" a="1"/>
  <c r="H23" i="2" a="1"/>
  <c r="H28" i="2" a="1"/>
  <c r="H31" i="2" a="1"/>
  <c r="H36" i="2" a="1"/>
  <c r="H39" i="2" a="1"/>
  <c r="H44" i="2" a="1"/>
  <c r="H47" i="2" a="1"/>
  <c r="H52" i="2" a="1"/>
  <c r="H55" i="2" a="1"/>
  <c r="H60" i="2" a="1"/>
  <c r="H63" i="2" a="1"/>
  <c r="H68" i="2" a="1"/>
  <c r="H71" i="2" a="1"/>
  <c r="H76" i="2" a="1"/>
  <c r="H79" i="2" a="1"/>
  <c r="H84" i="2" a="1"/>
  <c r="H87" i="2" a="1"/>
  <c r="H92" i="2" a="1"/>
  <c r="H95" i="2" a="1"/>
  <c r="H100" i="2" a="1"/>
  <c r="H103" i="2" a="1"/>
  <c r="H108" i="2" a="1"/>
  <c r="H111" i="2" a="1"/>
  <c r="H116" i="2" a="1"/>
  <c r="H119" i="2" a="1"/>
  <c r="H124" i="2" a="1"/>
  <c r="H127" i="2" a="1"/>
  <c r="H132" i="2" a="1"/>
  <c r="H135" i="2" a="1"/>
  <c r="H140" i="2" a="1"/>
  <c r="H143" i="2" a="1"/>
  <c r="H148" i="2" a="1"/>
  <c r="H151" i="2" a="1"/>
  <c r="H156" i="2" a="1"/>
  <c r="H159" i="2" a="1"/>
  <c r="H164" i="2" a="1"/>
  <c r="H167" i="2" a="1"/>
  <c r="H172" i="2" a="1"/>
  <c r="H20" i="2" a="1"/>
  <c r="H26" i="2" a="1"/>
  <c r="H29" i="2" a="1"/>
  <c r="H34" i="2" a="1"/>
  <c r="H37" i="2" a="1"/>
  <c r="H42" i="2" a="1"/>
  <c r="H45" i="2" a="1"/>
  <c r="H50" i="2" a="1"/>
  <c r="H53" i="2" a="1"/>
  <c r="H58" i="2" a="1"/>
  <c r="H61" i="2" a="1"/>
  <c r="H66" i="2" a="1"/>
  <c r="H69" i="2" a="1"/>
  <c r="H74" i="2" a="1"/>
  <c r="H77" i="2" a="1"/>
  <c r="H82" i="2" a="1"/>
  <c r="H85" i="2" a="1"/>
  <c r="H90" i="2" a="1"/>
  <c r="H93" i="2" a="1"/>
  <c r="H98" i="2" a="1"/>
  <c r="H101" i="2" a="1"/>
  <c r="H106" i="2" a="1"/>
  <c r="H109" i="2" a="1"/>
  <c r="H114" i="2" a="1"/>
  <c r="H117" i="2" a="1"/>
  <c r="H122" i="2" a="1"/>
  <c r="H125" i="2" a="1"/>
  <c r="H130" i="2" a="1"/>
  <c r="H133" i="2" a="1"/>
  <c r="H138" i="2" a="1"/>
  <c r="H141" i="2" a="1"/>
  <c r="H146" i="2" a="1"/>
  <c r="H149" i="2" a="1"/>
  <c r="H154" i="2" a="1"/>
  <c r="H157" i="2" a="1"/>
  <c r="H162" i="2" a="1"/>
  <c r="H165" i="2" a="1"/>
  <c r="H170" i="2" a="1"/>
  <c r="H173" i="2" a="1"/>
  <c r="H175" i="2" a="1"/>
  <c r="H177" i="2" a="1"/>
  <c r="H179" i="2" a="1"/>
  <c r="H24" i="2" a="1"/>
  <c r="H27" i="2" a="1"/>
  <c r="H32" i="2" a="1"/>
  <c r="H35" i="2" a="1"/>
  <c r="H40" i="2" a="1"/>
  <c r="H43" i="2" a="1"/>
  <c r="H48" i="2" a="1"/>
  <c r="H51" i="2" a="1"/>
  <c r="H56" i="2" a="1"/>
  <c r="H59" i="2" a="1"/>
  <c r="H64" i="2" a="1"/>
  <c r="H67" i="2" a="1"/>
  <c r="H72" i="2" a="1"/>
  <c r="H75" i="2" a="1"/>
  <c r="H80" i="2" a="1"/>
  <c r="H83" i="2" a="1"/>
  <c r="H88" i="2" a="1"/>
  <c r="H91" i="2" a="1"/>
  <c r="H96" i="2" a="1"/>
  <c r="H99" i="2" a="1"/>
  <c r="H104" i="2" a="1"/>
  <c r="H107" i="2" a="1"/>
  <c r="H112" i="2" a="1"/>
  <c r="H115" i="2" a="1"/>
  <c r="H120" i="2" a="1"/>
  <c r="H123" i="2" a="1"/>
  <c r="H128" i="2" a="1"/>
  <c r="H131" i="2" a="1"/>
  <c r="H136" i="2" a="1"/>
  <c r="H139" i="2" a="1"/>
  <c r="H144" i="2" a="1"/>
  <c r="H147" i="2" a="1"/>
  <c r="H152" i="2" a="1"/>
  <c r="H155" i="2" a="1"/>
  <c r="H160" i="2" a="1"/>
  <c r="H163" i="2" a="1"/>
  <c r="H168" i="2" a="1"/>
  <c r="H171" i="2" a="1"/>
  <c r="H38" i="2" a="1"/>
  <c r="H49" i="2" a="1"/>
  <c r="H70" i="2" a="1"/>
  <c r="H81" i="2" a="1"/>
  <c r="H102" i="2" a="1"/>
  <c r="H113" i="2" a="1"/>
  <c r="H134" i="2" a="1"/>
  <c r="H145" i="2" a="1"/>
  <c r="H166" i="2" a="1"/>
  <c r="H176" i="2" a="1"/>
  <c r="H182" i="2" a="1"/>
  <c r="H186" i="2" a="1"/>
  <c r="H190" i="2" a="1"/>
  <c r="H194" i="2" a="1"/>
  <c r="H198" i="2" a="1"/>
  <c r="H202" i="2" a="1"/>
  <c r="H206" i="2" a="1"/>
  <c r="H208" i="2" a="1"/>
  <c r="H212" i="2" a="1"/>
  <c r="H216" i="2" a="1"/>
  <c r="H220" i="2" a="1"/>
  <c r="H224" i="2" a="1"/>
  <c r="H228" i="2" a="1"/>
  <c r="H232" i="2" a="1"/>
  <c r="H236" i="2" a="1"/>
  <c r="H240" i="2" a="1"/>
  <c r="H244" i="2" a="1"/>
  <c r="H248" i="2" a="1"/>
  <c r="H250" i="2" a="1"/>
  <c r="H252" i="2" a="1"/>
  <c r="H254" i="2" a="1"/>
  <c r="H256" i="2" a="1"/>
  <c r="H258" i="2" a="1"/>
  <c r="H260" i="2" a="1"/>
  <c r="H262" i="2" a="1"/>
  <c r="H264" i="2" a="1"/>
  <c r="H266" i="2" a="1"/>
  <c r="H268" i="2" a="1"/>
  <c r="H270" i="2" a="1"/>
  <c r="H272" i="2" a="1"/>
  <c r="H274" i="2" a="1"/>
  <c r="H276" i="2" a="1"/>
  <c r="H278" i="2" a="1"/>
  <c r="H280" i="2" a="1"/>
  <c r="H282" i="2" a="1"/>
  <c r="H284" i="2" a="1"/>
  <c r="H286" i="2" a="1"/>
  <c r="H288" i="2" a="1"/>
  <c r="H290" i="2" a="1"/>
  <c r="H292" i="2" a="1"/>
  <c r="H294" i="2" a="1"/>
  <c r="H296" i="2" a="1"/>
  <c r="H298" i="2" a="1"/>
  <c r="H300" i="2" a="1"/>
  <c r="H302" i="2" a="1"/>
  <c r="H304" i="2" a="1"/>
  <c r="H306" i="2" a="1"/>
  <c r="H308" i="2" a="1"/>
  <c r="H310" i="2" a="1"/>
  <c r="H312" i="2" a="1"/>
  <c r="H314" i="2" a="1"/>
  <c r="H316" i="2" a="1"/>
  <c r="H318" i="2" a="1"/>
  <c r="H320" i="2" a="1"/>
  <c r="H322" i="2" a="1"/>
  <c r="H324" i="2" a="1"/>
  <c r="H326" i="2" a="1"/>
  <c r="H328" i="2" a="1"/>
  <c r="H330" i="2" a="1"/>
  <c r="H332" i="2" a="1"/>
  <c r="H334" i="2" a="1"/>
  <c r="H336" i="2" a="1"/>
  <c r="H338" i="2" a="1"/>
  <c r="H340" i="2" a="1"/>
  <c r="H342" i="2" a="1"/>
  <c r="H344" i="2" a="1"/>
  <c r="H346" i="2" a="1"/>
  <c r="H348" i="2" a="1"/>
  <c r="H350" i="2" a="1"/>
  <c r="H352" i="2" a="1"/>
  <c r="H354" i="2" a="1"/>
  <c r="H356" i="2" a="1"/>
  <c r="H358" i="2" a="1"/>
  <c r="H18" i="2" a="1"/>
  <c r="H30" i="2" a="1"/>
  <c r="H41" i="2" a="1"/>
  <c r="H62" i="2" a="1"/>
  <c r="H73" i="2" a="1"/>
  <c r="H94" i="2" a="1"/>
  <c r="H105" i="2" a="1"/>
  <c r="H126" i="2" a="1"/>
  <c r="H137" i="2" a="1"/>
  <c r="H158" i="2" a="1"/>
  <c r="H169" i="2" a="1"/>
  <c r="H178" i="2" a="1"/>
  <c r="H183" i="2" a="1"/>
  <c r="H187" i="2" a="1"/>
  <c r="H191" i="2" a="1"/>
  <c r="H195" i="2" a="1"/>
  <c r="H199" i="2" a="1"/>
  <c r="H203" i="2" a="1"/>
  <c r="H207" i="2" a="1"/>
  <c r="H209" i="2" a="1"/>
  <c r="H213" i="2" a="1"/>
  <c r="H217" i="2" a="1"/>
  <c r="H221" i="2" a="1"/>
  <c r="H225" i="2" a="1"/>
  <c r="H229" i="2" a="1"/>
  <c r="H233" i="2" a="1"/>
  <c r="H237" i="2" a="1"/>
  <c r="H241" i="2" a="1"/>
  <c r="H245" i="2" a="1"/>
  <c r="H303" i="2" a="1"/>
  <c r="H307" i="2" a="1"/>
  <c r="H309" i="2" a="1"/>
  <c r="H311" i="2" a="1"/>
  <c r="H313" i="2" a="1"/>
  <c r="H315" i="2" a="1"/>
  <c r="H317" i="2" a="1"/>
  <c r="H319" i="2" a="1"/>
  <c r="H321" i="2" a="1"/>
  <c r="H323" i="2" a="1"/>
  <c r="H325" i="2" a="1"/>
  <c r="H327" i="2" a="1"/>
  <c r="H329" i="2" a="1"/>
  <c r="H331" i="2" a="1"/>
  <c r="H333" i="2" a="1"/>
  <c r="H335" i="2" a="1"/>
  <c r="H337" i="2" a="1"/>
  <c r="H339" i="2" a="1"/>
  <c r="H341" i="2" a="1"/>
  <c r="H343" i="2" a="1"/>
  <c r="H345" i="2" a="1"/>
  <c r="H347" i="2" a="1"/>
  <c r="H349" i="2" a="1"/>
  <c r="H351" i="2" a="1"/>
  <c r="H353" i="2" a="1"/>
  <c r="H355" i="2" a="1"/>
  <c r="H357" i="2" a="1"/>
  <c r="H359" i="2" a="1"/>
  <c r="H361" i="2" a="1"/>
  <c r="H364" i="2" a="1"/>
  <c r="H25" i="2" a="1"/>
  <c r="H46" i="2" a="1"/>
  <c r="H57" i="2" a="1"/>
  <c r="H78" i="2" a="1"/>
  <c r="H89" i="2" a="1"/>
  <c r="H110" i="2" a="1"/>
  <c r="H121" i="2" a="1"/>
  <c r="H142" i="2" a="1"/>
  <c r="H153" i="2" a="1"/>
  <c r="H174" i="2" a="1"/>
  <c r="H181" i="2" a="1"/>
  <c r="H185" i="2" a="1"/>
  <c r="H189" i="2" a="1"/>
  <c r="H193" i="2" a="1"/>
  <c r="H197" i="2" a="1"/>
  <c r="H201" i="2" a="1"/>
  <c r="H205" i="2" a="1"/>
  <c r="H211" i="2" a="1"/>
  <c r="H215" i="2" a="1"/>
  <c r="H219" i="2" a="1"/>
  <c r="H223" i="2" a="1"/>
  <c r="H227" i="2" a="1"/>
  <c r="H231" i="2" a="1"/>
  <c r="H235" i="2" a="1"/>
  <c r="H239" i="2" a="1"/>
  <c r="H243" i="2" a="1"/>
  <c r="H247" i="2" a="1"/>
  <c r="H22" i="2" a="1"/>
  <c r="H33" i="2" a="1"/>
  <c r="H54" i="2" a="1"/>
  <c r="H65" i="2" a="1"/>
  <c r="H86" i="2" a="1"/>
  <c r="H97" i="2" a="1"/>
  <c r="H118" i="2" a="1"/>
  <c r="H129" i="2" a="1"/>
  <c r="H150" i="2" a="1"/>
  <c r="H161" i="2" a="1"/>
  <c r="H180" i="2" a="1"/>
  <c r="H184" i="2" a="1"/>
  <c r="H188" i="2" a="1"/>
  <c r="H192" i="2" a="1"/>
  <c r="H196" i="2" a="1"/>
  <c r="H200" i="2" a="1"/>
  <c r="H204" i="2" a="1"/>
  <c r="H210" i="2" a="1"/>
  <c r="H214" i="2" a="1"/>
  <c r="H218" i="2" a="1"/>
  <c r="H222" i="2" a="1"/>
  <c r="H226" i="2" a="1"/>
  <c r="H230" i="2" a="1"/>
  <c r="H234" i="2" a="1"/>
  <c r="H238" i="2" a="1"/>
  <c r="H242" i="2" a="1"/>
  <c r="H246" i="2" a="1"/>
  <c r="H249" i="2" a="1"/>
  <c r="H251" i="2" a="1"/>
  <c r="H253" i="2" a="1"/>
  <c r="H255" i="2" a="1"/>
  <c r="H257" i="2" a="1"/>
  <c r="H259" i="2" a="1"/>
  <c r="H261" i="2" a="1"/>
  <c r="H263" i="2" a="1"/>
  <c r="H265" i="2" a="1"/>
  <c r="H267" i="2" a="1"/>
  <c r="H269" i="2" a="1"/>
  <c r="H271" i="2" a="1"/>
  <c r="H273" i="2" a="1"/>
  <c r="H275" i="2" a="1"/>
  <c r="H277" i="2" a="1"/>
  <c r="H279" i="2" a="1"/>
  <c r="H281" i="2" a="1"/>
  <c r="H283" i="2" a="1"/>
  <c r="H285" i="2" a="1"/>
  <c r="H287" i="2" a="1"/>
  <c r="H289" i="2" a="1"/>
  <c r="H291" i="2" a="1"/>
  <c r="H293" i="2" a="1"/>
  <c r="H295" i="2" a="1"/>
  <c r="H297" i="2" a="1"/>
  <c r="H299" i="2" a="1"/>
  <c r="H301" i="2" a="1"/>
  <c r="H305" i="2" a="1"/>
  <c r="H362" i="2" a="1"/>
  <c r="H360" i="2" a="1"/>
  <c r="H363" i="2" a="1"/>
  <c r="G4" i="2" a="1"/>
  <c r="G5" i="2" a="1"/>
  <c r="G6" i="2" a="1"/>
  <c r="G11" i="2" a="1"/>
  <c r="G14" i="2" a="1"/>
  <c r="G19" i="2" a="1"/>
  <c r="G22" i="2" a="1"/>
  <c r="G27" i="2" a="1"/>
  <c r="G30" i="2" a="1"/>
  <c r="G35" i="2" a="1"/>
  <c r="G38" i="2" a="1"/>
  <c r="G43" i="2" a="1"/>
  <c r="G46" i="2" a="1"/>
  <c r="G51" i="2" a="1"/>
  <c r="G54" i="2" a="1"/>
  <c r="G59" i="2" a="1"/>
  <c r="G62" i="2" a="1"/>
  <c r="G67" i="2" a="1"/>
  <c r="G70" i="2" a="1"/>
  <c r="G75" i="2" a="1"/>
  <c r="G78" i="2" a="1"/>
  <c r="G83" i="2" a="1"/>
  <c r="G86" i="2" a="1"/>
  <c r="G91" i="2" a="1"/>
  <c r="G94" i="2" a="1"/>
  <c r="G99" i="2" a="1"/>
  <c r="G102" i="2" a="1"/>
  <c r="G107" i="2" a="1"/>
  <c r="G110" i="2" a="1"/>
  <c r="G115" i="2" a="1"/>
  <c r="G118" i="2" a="1"/>
  <c r="G123" i="2" a="1"/>
  <c r="G126" i="2" a="1"/>
  <c r="G131" i="2" a="1"/>
  <c r="G134" i="2" a="1"/>
  <c r="G139" i="2" a="1"/>
  <c r="G142" i="2" a="1"/>
  <c r="G147" i="2" a="1"/>
  <c r="G150" i="2" a="1"/>
  <c r="G155" i="2" a="1"/>
  <c r="G158" i="2" a="1"/>
  <c r="G163" i="2" a="1"/>
  <c r="G166" i="2" a="1"/>
  <c r="G171" i="2" a="1"/>
  <c r="G174" i="2" a="1"/>
  <c r="G176" i="2" a="1"/>
  <c r="G178" i="2" a="1"/>
  <c r="G180" i="2" a="1"/>
  <c r="G182" i="2" a="1"/>
  <c r="G184" i="2" a="1"/>
  <c r="G186" i="2" a="1"/>
  <c r="G9" i="2" a="1"/>
  <c r="G12" i="2" a="1"/>
  <c r="G17" i="2" a="1"/>
  <c r="G20" i="2" a="1"/>
  <c r="G25" i="2" a="1"/>
  <c r="G28" i="2" a="1"/>
  <c r="G33" i="2" a="1"/>
  <c r="G36" i="2" a="1"/>
  <c r="G41" i="2" a="1"/>
  <c r="G44" i="2" a="1"/>
  <c r="G49" i="2" a="1"/>
  <c r="G52" i="2" a="1"/>
  <c r="G57" i="2" a="1"/>
  <c r="G60" i="2" a="1"/>
  <c r="G65" i="2" a="1"/>
  <c r="G68" i="2" a="1"/>
  <c r="G73" i="2" a="1"/>
  <c r="G76" i="2" a="1"/>
  <c r="G81" i="2" a="1"/>
  <c r="G84" i="2" a="1"/>
  <c r="G89" i="2" a="1"/>
  <c r="G92" i="2" a="1"/>
  <c r="G97" i="2" a="1"/>
  <c r="G100" i="2" a="1"/>
  <c r="G105" i="2" a="1"/>
  <c r="G108" i="2" a="1"/>
  <c r="G113" i="2" a="1"/>
  <c r="G116" i="2" a="1"/>
  <c r="G121" i="2" a="1"/>
  <c r="G124" i="2" a="1"/>
  <c r="G129" i="2" a="1"/>
  <c r="G132" i="2" a="1"/>
  <c r="G137" i="2" a="1"/>
  <c r="G140" i="2" a="1"/>
  <c r="G145" i="2" a="1"/>
  <c r="G148" i="2" a="1"/>
  <c r="G153" i="2" a="1"/>
  <c r="G156" i="2" a="1"/>
  <c r="G161" i="2" a="1"/>
  <c r="G164" i="2" a="1"/>
  <c r="G169" i="2" a="1"/>
  <c r="G172" i="2" a="1"/>
  <c r="G7" i="2" a="1"/>
  <c r="G10" i="2" a="1"/>
  <c r="G15" i="2" a="1"/>
  <c r="G18" i="2" a="1"/>
  <c r="G23" i="2" a="1"/>
  <c r="G26" i="2" a="1"/>
  <c r="G31" i="2" a="1"/>
  <c r="G34" i="2" a="1"/>
  <c r="G39" i="2" a="1"/>
  <c r="G42" i="2" a="1"/>
  <c r="G47" i="2" a="1"/>
  <c r="G50" i="2" a="1"/>
  <c r="G55" i="2" a="1"/>
  <c r="G58" i="2" a="1"/>
  <c r="G63" i="2" a="1"/>
  <c r="G66" i="2" a="1"/>
  <c r="G71" i="2" a="1"/>
  <c r="G74" i="2" a="1"/>
  <c r="G79" i="2" a="1"/>
  <c r="G82" i="2" a="1"/>
  <c r="G87" i="2" a="1"/>
  <c r="G90" i="2" a="1"/>
  <c r="G95" i="2" a="1"/>
  <c r="G98" i="2" a="1"/>
  <c r="G103" i="2" a="1"/>
  <c r="G106" i="2" a="1"/>
  <c r="G111" i="2" a="1"/>
  <c r="G114" i="2" a="1"/>
  <c r="G119" i="2" a="1"/>
  <c r="G122" i="2" a="1"/>
  <c r="G127" i="2" a="1"/>
  <c r="G130" i="2" a="1"/>
  <c r="G135" i="2" a="1"/>
  <c r="G138" i="2" a="1"/>
  <c r="G143" i="2" a="1"/>
  <c r="G146" i="2" a="1"/>
  <c r="G151" i="2" a="1"/>
  <c r="G154" i="2" a="1"/>
  <c r="G159" i="2" a="1"/>
  <c r="G162" i="2" a="1"/>
  <c r="G167" i="2" a="1"/>
  <c r="G170" i="2" a="1"/>
  <c r="G175" i="2" a="1"/>
  <c r="G177" i="2" a="1"/>
  <c r="G179" i="2" a="1"/>
  <c r="G181" i="2" a="1"/>
  <c r="G183" i="2" a="1"/>
  <c r="G185" i="2" a="1"/>
  <c r="G187" i="2" a="1"/>
  <c r="G189" i="2" a="1"/>
  <c r="G191" i="2" a="1"/>
  <c r="G193" i="2" a="1"/>
  <c r="G195" i="2" a="1"/>
  <c r="G197" i="2" a="1"/>
  <c r="G199" i="2" a="1"/>
  <c r="G201" i="2" a="1"/>
  <c r="G203" i="2" a="1"/>
  <c r="G205" i="2" a="1"/>
  <c r="G207" i="2" a="1"/>
  <c r="G209" i="2" a="1"/>
  <c r="G211" i="2" a="1"/>
  <c r="G213" i="2" a="1"/>
  <c r="G215" i="2" a="1"/>
  <c r="G8" i="2" a="1"/>
  <c r="G29" i="2" a="1"/>
  <c r="G40" i="2" a="1"/>
  <c r="G61" i="2" a="1"/>
  <c r="G72" i="2" a="1"/>
  <c r="G93" i="2" a="1"/>
  <c r="G104" i="2" a="1"/>
  <c r="G125" i="2" a="1"/>
  <c r="G136" i="2" a="1"/>
  <c r="G157" i="2" a="1"/>
  <c r="G168" i="2" a="1"/>
  <c r="G190" i="2" a="1"/>
  <c r="G194" i="2" a="1"/>
  <c r="G198" i="2" a="1"/>
  <c r="G202" i="2" a="1"/>
  <c r="G206" i="2" a="1"/>
  <c r="G208" i="2" a="1"/>
  <c r="G212" i="2" a="1"/>
  <c r="G216" i="2" a="1"/>
  <c r="G219" i="2" a="1"/>
  <c r="G224" i="2" a="1"/>
  <c r="G227" i="2" a="1"/>
  <c r="G232" i="2" a="1"/>
  <c r="G235" i="2" a="1"/>
  <c r="G240" i="2" a="1"/>
  <c r="G243" i="2" a="1"/>
  <c r="G245" i="2" a="1"/>
  <c r="G247" i="2" a="1"/>
  <c r="G249" i="2" a="1"/>
  <c r="G251" i="2" a="1"/>
  <c r="G253" i="2" a="1"/>
  <c r="G255" i="2" a="1"/>
  <c r="G257" i="2" a="1"/>
  <c r="G259" i="2" a="1"/>
  <c r="G261" i="2" a="1"/>
  <c r="G263" i="2" a="1"/>
  <c r="G265" i="2" a="1"/>
  <c r="G267" i="2" a="1"/>
  <c r="G269" i="2" a="1"/>
  <c r="G271" i="2" a="1"/>
  <c r="G273" i="2" a="1"/>
  <c r="G275" i="2" a="1"/>
  <c r="G277" i="2" a="1"/>
  <c r="G279" i="2" a="1"/>
  <c r="G281" i="2" a="1"/>
  <c r="G283" i="2" a="1"/>
  <c r="G285" i="2" a="1"/>
  <c r="G287" i="2" a="1"/>
  <c r="G289" i="2" a="1"/>
  <c r="G291" i="2" a="1"/>
  <c r="G293" i="2" a="1"/>
  <c r="G295" i="2" a="1"/>
  <c r="G297" i="2" a="1"/>
  <c r="G299" i="2" a="1"/>
  <c r="G301" i="2" a="1"/>
  <c r="G303" i="2" a="1"/>
  <c r="G305" i="2" a="1"/>
  <c r="G307" i="2" a="1"/>
  <c r="G309" i="2" a="1"/>
  <c r="G311" i="2" a="1"/>
  <c r="G313" i="2" a="1"/>
  <c r="G315" i="2" a="1"/>
  <c r="G317" i="2" a="1"/>
  <c r="G319" i="2" a="1"/>
  <c r="G321" i="2" a="1"/>
  <c r="G323" i="2" a="1"/>
  <c r="G325" i="2" a="1"/>
  <c r="G327" i="2" a="1"/>
  <c r="G329" i="2" a="1"/>
  <c r="G331" i="2" a="1"/>
  <c r="G333" i="2" a="1"/>
  <c r="G335" i="2" a="1"/>
  <c r="G337" i="2" a="1"/>
  <c r="G339" i="2" a="1"/>
  <c r="G341" i="2" a="1"/>
  <c r="G343" i="2" a="1"/>
  <c r="G345" i="2" a="1"/>
  <c r="G347" i="2" a="1"/>
  <c r="G349" i="2" a="1"/>
  <c r="G351" i="2" a="1"/>
  <c r="G353" i="2" a="1"/>
  <c r="G355" i="2" a="1"/>
  <c r="G357" i="2" a="1"/>
  <c r="G359" i="2" a="1"/>
  <c r="G361" i="2" a="1"/>
  <c r="G364" i="2" a="1"/>
  <c r="G352" i="2" a="1"/>
  <c r="G16" i="2" a="1"/>
  <c r="G80" i="2" a="1"/>
  <c r="G133" i="2" a="1"/>
  <c r="G218" i="2" a="1"/>
  <c r="G229" i="2" a="1"/>
  <c r="G21" i="2" a="1"/>
  <c r="G32" i="2" a="1"/>
  <c r="G53" i="2" a="1"/>
  <c r="G64" i="2" a="1"/>
  <c r="G85" i="2" a="1"/>
  <c r="G96" i="2" a="1"/>
  <c r="G117" i="2" a="1"/>
  <c r="G128" i="2" a="1"/>
  <c r="G149" i="2" a="1"/>
  <c r="G160" i="2" a="1"/>
  <c r="G217" i="2" a="1"/>
  <c r="G222" i="2" a="1"/>
  <c r="G225" i="2" a="1"/>
  <c r="G230" i="2" a="1"/>
  <c r="G233" i="2" a="1"/>
  <c r="G238" i="2" a="1"/>
  <c r="G241" i="2" a="1"/>
  <c r="G250" i="2" a="1"/>
  <c r="G262" i="2" a="1"/>
  <c r="G266" i="2" a="1"/>
  <c r="G270" i="2" a="1"/>
  <c r="G274" i="2" a="1"/>
  <c r="G278" i="2" a="1"/>
  <c r="G282" i="2" a="1"/>
  <c r="G286" i="2" a="1"/>
  <c r="G290" i="2" a="1"/>
  <c r="G294" i="2" a="1"/>
  <c r="G298" i="2" a="1"/>
  <c r="G300" i="2" a="1"/>
  <c r="G304" i="2" a="1"/>
  <c r="G308" i="2" a="1"/>
  <c r="G312" i="2" a="1"/>
  <c r="G316" i="2" a="1"/>
  <c r="G320" i="2" a="1"/>
  <c r="G324" i="2" a="1"/>
  <c r="G328" i="2" a="1"/>
  <c r="G332" i="2" a="1"/>
  <c r="G336" i="2" a="1"/>
  <c r="G338" i="2" a="1"/>
  <c r="G342" i="2" a="1"/>
  <c r="G346" i="2" a="1"/>
  <c r="G350" i="2" a="1"/>
  <c r="G356" i="2" a="1"/>
  <c r="G360" i="2" a="1"/>
  <c r="G363" i="2" a="1"/>
  <c r="G69" i="2" a="1"/>
  <c r="G112" i="2" a="1"/>
  <c r="G165" i="2" a="1"/>
  <c r="G221" i="2" a="1"/>
  <c r="G234" i="2" a="1"/>
  <c r="G13" i="2" a="1"/>
  <c r="G24" i="2" a="1"/>
  <c r="G45" i="2" a="1"/>
  <c r="G56" i="2" a="1"/>
  <c r="G77" i="2" a="1"/>
  <c r="G88" i="2" a="1"/>
  <c r="G109" i="2" a="1"/>
  <c r="G120" i="2" a="1"/>
  <c r="G141" i="2" a="1"/>
  <c r="G152" i="2" a="1"/>
  <c r="G173" i="2" a="1"/>
  <c r="G188" i="2" a="1"/>
  <c r="G192" i="2" a="1"/>
  <c r="G196" i="2" a="1"/>
  <c r="G200" i="2" a="1"/>
  <c r="G204" i="2" a="1"/>
  <c r="G210" i="2" a="1"/>
  <c r="G214" i="2" a="1"/>
  <c r="G220" i="2" a="1"/>
  <c r="G223" i="2" a="1"/>
  <c r="G228" i="2" a="1"/>
  <c r="G231" i="2" a="1"/>
  <c r="G236" i="2" a="1"/>
  <c r="G239" i="2" a="1"/>
  <c r="G244" i="2" a="1"/>
  <c r="G246" i="2" a="1"/>
  <c r="G248" i="2" a="1"/>
  <c r="G252" i="2" a="1"/>
  <c r="G254" i="2" a="1"/>
  <c r="G256" i="2" a="1"/>
  <c r="G258" i="2" a="1"/>
  <c r="G260" i="2" a="1"/>
  <c r="G264" i="2" a="1"/>
  <c r="G268" i="2" a="1"/>
  <c r="G272" i="2" a="1"/>
  <c r="G276" i="2" a="1"/>
  <c r="G280" i="2" a="1"/>
  <c r="G284" i="2" a="1"/>
  <c r="G288" i="2" a="1"/>
  <c r="G292" i="2" a="1"/>
  <c r="G296" i="2" a="1"/>
  <c r="G302" i="2" a="1"/>
  <c r="G306" i="2" a="1"/>
  <c r="G310" i="2" a="1"/>
  <c r="G314" i="2" a="1"/>
  <c r="G318" i="2" a="1"/>
  <c r="G322" i="2" a="1"/>
  <c r="G326" i="2" a="1"/>
  <c r="G330" i="2" a="1"/>
  <c r="G334" i="2" a="1"/>
  <c r="G340" i="2" a="1"/>
  <c r="G344" i="2" a="1"/>
  <c r="G348" i="2" a="1"/>
  <c r="G354" i="2" a="1"/>
  <c r="G358" i="2" a="1"/>
  <c r="G362" i="2" a="1"/>
  <c r="G37" i="2" a="1"/>
  <c r="G48" i="2" a="1"/>
  <c r="G101" i="2" a="1"/>
  <c r="G144" i="2" a="1"/>
  <c r="G226" i="2" a="1"/>
  <c r="G237" i="2" a="1"/>
  <c r="G242" i="2" a="1"/>
  <c r="E19" i="1" l="1"/>
  <c r="D18" i="6"/>
  <c r="H18" i="6"/>
  <c r="F18" i="6"/>
  <c r="E22" i="6"/>
  <c r="F22" i="6" s="1"/>
  <c r="E8" i="1"/>
  <c r="E10" i="1" s="1"/>
  <c r="E11" i="1" s="1"/>
  <c r="E14" i="1" s="1"/>
  <c r="E23" i="1"/>
  <c r="E22" i="1"/>
  <c r="E21" i="6"/>
  <c r="G22" i="6"/>
  <c r="H363" i="2"/>
  <c r="H360" i="2"/>
  <c r="H362" i="2"/>
  <c r="H305" i="2"/>
  <c r="H301" i="2"/>
  <c r="H299" i="2"/>
  <c r="H297" i="2"/>
  <c r="H295" i="2"/>
  <c r="H293" i="2"/>
  <c r="H291" i="2"/>
  <c r="H289" i="2"/>
  <c r="H287" i="2"/>
  <c r="H285" i="2"/>
  <c r="H283" i="2"/>
  <c r="H281" i="2"/>
  <c r="H279" i="2"/>
  <c r="H277" i="2"/>
  <c r="H275" i="2"/>
  <c r="H273" i="2"/>
  <c r="H271" i="2"/>
  <c r="H269" i="2"/>
  <c r="H267" i="2"/>
  <c r="H265" i="2"/>
  <c r="H263" i="2"/>
  <c r="H261" i="2"/>
  <c r="H259" i="2"/>
  <c r="H257" i="2"/>
  <c r="H255" i="2"/>
  <c r="H253" i="2"/>
  <c r="H251" i="2"/>
  <c r="H249" i="2"/>
  <c r="H246" i="2"/>
  <c r="H242" i="2"/>
  <c r="H238" i="2"/>
  <c r="H234" i="2"/>
  <c r="H230" i="2"/>
  <c r="H226" i="2"/>
  <c r="H222" i="2"/>
  <c r="H218" i="2"/>
  <c r="H214" i="2"/>
  <c r="H210" i="2"/>
  <c r="H204" i="2"/>
  <c r="H200" i="2"/>
  <c r="H196" i="2"/>
  <c r="H192" i="2"/>
  <c r="H188" i="2"/>
  <c r="H184" i="2"/>
  <c r="H180" i="2"/>
  <c r="H161" i="2"/>
  <c r="H150" i="2"/>
  <c r="H129" i="2"/>
  <c r="H118" i="2"/>
  <c r="H97" i="2"/>
  <c r="H86" i="2"/>
  <c r="H65" i="2"/>
  <c r="H54" i="2"/>
  <c r="H33" i="2"/>
  <c r="H22" i="2"/>
  <c r="H247" i="2"/>
  <c r="H243" i="2"/>
  <c r="H239" i="2"/>
  <c r="H235" i="2"/>
  <c r="H231" i="2"/>
  <c r="H227" i="2"/>
  <c r="H223" i="2"/>
  <c r="H219" i="2"/>
  <c r="H215" i="2"/>
  <c r="H211" i="2"/>
  <c r="H205" i="2"/>
  <c r="H201" i="2"/>
  <c r="H197" i="2"/>
  <c r="H193" i="2"/>
  <c r="H189" i="2"/>
  <c r="H185" i="2"/>
  <c r="H181" i="2"/>
  <c r="H174" i="2"/>
  <c r="H153" i="2"/>
  <c r="H142" i="2"/>
  <c r="H121" i="2"/>
  <c r="H110" i="2"/>
  <c r="H89" i="2"/>
  <c r="H78" i="2"/>
  <c r="H57" i="2"/>
  <c r="H46" i="2"/>
  <c r="H25" i="2"/>
  <c r="H364" i="2"/>
  <c r="H361" i="2"/>
  <c r="H359" i="2"/>
  <c r="H357" i="2"/>
  <c r="H355" i="2"/>
  <c r="H353" i="2"/>
  <c r="H351" i="2"/>
  <c r="H349" i="2"/>
  <c r="H347" i="2"/>
  <c r="H345" i="2"/>
  <c r="H343" i="2"/>
  <c r="H341" i="2"/>
  <c r="H339" i="2"/>
  <c r="H337" i="2"/>
  <c r="H335" i="2"/>
  <c r="H333" i="2"/>
  <c r="H331" i="2"/>
  <c r="H329" i="2"/>
  <c r="H327" i="2"/>
  <c r="H325" i="2"/>
  <c r="H323" i="2"/>
  <c r="H321" i="2"/>
  <c r="H319" i="2"/>
  <c r="H317" i="2"/>
  <c r="H315" i="2"/>
  <c r="H313" i="2"/>
  <c r="H311" i="2"/>
  <c r="H309" i="2"/>
  <c r="H307" i="2"/>
  <c r="H303" i="2"/>
  <c r="H245" i="2"/>
  <c r="H241" i="2"/>
  <c r="H237" i="2"/>
  <c r="H233" i="2"/>
  <c r="H229" i="2"/>
  <c r="H225" i="2"/>
  <c r="H221" i="2"/>
  <c r="H217" i="2"/>
  <c r="H213" i="2"/>
  <c r="H209" i="2"/>
  <c r="H207" i="2"/>
  <c r="H203" i="2"/>
  <c r="H199" i="2"/>
  <c r="H195" i="2"/>
  <c r="H191" i="2"/>
  <c r="H187" i="2"/>
  <c r="H183" i="2"/>
  <c r="H178" i="2"/>
  <c r="H169" i="2"/>
  <c r="H158" i="2"/>
  <c r="H137" i="2"/>
  <c r="H126" i="2"/>
  <c r="H105" i="2"/>
  <c r="H94" i="2"/>
  <c r="H73" i="2"/>
  <c r="H62" i="2"/>
  <c r="H41" i="2"/>
  <c r="H30" i="2"/>
  <c r="H18" i="2"/>
  <c r="H358" i="2"/>
  <c r="H356" i="2"/>
  <c r="H354" i="2"/>
  <c r="H352" i="2"/>
  <c r="H350" i="2"/>
  <c r="H348" i="2"/>
  <c r="H346" i="2"/>
  <c r="H344" i="2"/>
  <c r="H342" i="2"/>
  <c r="H340" i="2"/>
  <c r="H338" i="2"/>
  <c r="H336" i="2"/>
  <c r="H334" i="2"/>
  <c r="H332" i="2"/>
  <c r="H330" i="2"/>
  <c r="H328" i="2"/>
  <c r="H326" i="2"/>
  <c r="H324" i="2"/>
  <c r="H322" i="2"/>
  <c r="H320" i="2"/>
  <c r="H318" i="2"/>
  <c r="H316" i="2"/>
  <c r="H314" i="2"/>
  <c r="H312" i="2"/>
  <c r="H310" i="2"/>
  <c r="H308" i="2"/>
  <c r="H306" i="2"/>
  <c r="H304" i="2"/>
  <c r="H302" i="2"/>
  <c r="H300" i="2"/>
  <c r="H298" i="2"/>
  <c r="H296" i="2"/>
  <c r="H294" i="2"/>
  <c r="H292" i="2"/>
  <c r="H290" i="2"/>
  <c r="H288" i="2"/>
  <c r="H286" i="2"/>
  <c r="H284" i="2"/>
  <c r="H282" i="2"/>
  <c r="H280" i="2"/>
  <c r="H278" i="2"/>
  <c r="H276" i="2"/>
  <c r="H274" i="2"/>
  <c r="H272" i="2"/>
  <c r="H270" i="2"/>
  <c r="H268" i="2"/>
  <c r="H266" i="2"/>
  <c r="H264" i="2"/>
  <c r="H262" i="2"/>
  <c r="H260" i="2"/>
  <c r="H258" i="2"/>
  <c r="H256" i="2"/>
  <c r="H254" i="2"/>
  <c r="H252" i="2"/>
  <c r="H250" i="2"/>
  <c r="H248" i="2"/>
  <c r="H244" i="2"/>
  <c r="H240" i="2"/>
  <c r="H236" i="2"/>
  <c r="H232" i="2"/>
  <c r="H228" i="2"/>
  <c r="H224" i="2"/>
  <c r="H220" i="2"/>
  <c r="H216" i="2"/>
  <c r="H212" i="2"/>
  <c r="H208" i="2"/>
  <c r="H206" i="2"/>
  <c r="H202" i="2"/>
  <c r="H198" i="2"/>
  <c r="H194" i="2"/>
  <c r="H190" i="2"/>
  <c r="H186" i="2"/>
  <c r="H182" i="2"/>
  <c r="H176" i="2"/>
  <c r="H166" i="2"/>
  <c r="H145" i="2"/>
  <c r="H134" i="2"/>
  <c r="H113" i="2"/>
  <c r="H102" i="2"/>
  <c r="H81" i="2"/>
  <c r="H70" i="2"/>
  <c r="H49" i="2"/>
  <c r="H38" i="2"/>
  <c r="H171" i="2"/>
  <c r="H168" i="2"/>
  <c r="H163" i="2"/>
  <c r="H160" i="2"/>
  <c r="H155" i="2"/>
  <c r="H152" i="2"/>
  <c r="H147" i="2"/>
  <c r="H144" i="2"/>
  <c r="H139" i="2"/>
  <c r="H136" i="2"/>
  <c r="H131" i="2"/>
  <c r="H128" i="2"/>
  <c r="H123" i="2"/>
  <c r="H120" i="2"/>
  <c r="H115" i="2"/>
  <c r="H112" i="2"/>
  <c r="H107" i="2"/>
  <c r="H104" i="2"/>
  <c r="H99" i="2"/>
  <c r="H96" i="2"/>
  <c r="H91" i="2"/>
  <c r="H88" i="2"/>
  <c r="H83" i="2"/>
  <c r="H80" i="2"/>
  <c r="H75" i="2"/>
  <c r="H72" i="2"/>
  <c r="H67" i="2"/>
  <c r="H64" i="2"/>
  <c r="H59" i="2"/>
  <c r="H56" i="2"/>
  <c r="H51" i="2"/>
  <c r="H48" i="2"/>
  <c r="H43" i="2"/>
  <c r="H40" i="2"/>
  <c r="H35" i="2"/>
  <c r="H32" i="2"/>
  <c r="H27" i="2"/>
  <c r="H24" i="2"/>
  <c r="H179" i="2"/>
  <c r="H177" i="2"/>
  <c r="H175" i="2"/>
  <c r="H173" i="2"/>
  <c r="H170" i="2"/>
  <c r="H165" i="2"/>
  <c r="H162" i="2"/>
  <c r="H157" i="2"/>
  <c r="H154" i="2"/>
  <c r="H149" i="2"/>
  <c r="H146" i="2"/>
  <c r="H141" i="2"/>
  <c r="H138" i="2"/>
  <c r="H133" i="2"/>
  <c r="H130" i="2"/>
  <c r="H125" i="2"/>
  <c r="H122" i="2"/>
  <c r="H117" i="2"/>
  <c r="H114" i="2"/>
  <c r="H109" i="2"/>
  <c r="H106" i="2"/>
  <c r="H101" i="2"/>
  <c r="H98" i="2"/>
  <c r="H93" i="2"/>
  <c r="H90" i="2"/>
  <c r="H85" i="2"/>
  <c r="H82" i="2"/>
  <c r="H77" i="2"/>
  <c r="H74" i="2"/>
  <c r="H69" i="2"/>
  <c r="H66" i="2"/>
  <c r="H61" i="2"/>
  <c r="H58" i="2"/>
  <c r="H53" i="2"/>
  <c r="H50" i="2"/>
  <c r="H45" i="2"/>
  <c r="H42" i="2"/>
  <c r="H37" i="2"/>
  <c r="H34" i="2"/>
  <c r="H29" i="2"/>
  <c r="H26" i="2"/>
  <c r="H20" i="2"/>
  <c r="H172" i="2"/>
  <c r="H167" i="2"/>
  <c r="H164" i="2"/>
  <c r="H159" i="2"/>
  <c r="H156" i="2"/>
  <c r="H151" i="2"/>
  <c r="H148" i="2"/>
  <c r="H143" i="2"/>
  <c r="H140" i="2"/>
  <c r="H135" i="2"/>
  <c r="H132" i="2"/>
  <c r="H127" i="2"/>
  <c r="H124" i="2"/>
  <c r="H119" i="2"/>
  <c r="H116" i="2"/>
  <c r="H111" i="2"/>
  <c r="H108" i="2"/>
  <c r="H103" i="2"/>
  <c r="H100" i="2"/>
  <c r="H95" i="2"/>
  <c r="H92" i="2"/>
  <c r="H87" i="2"/>
  <c r="H84" i="2"/>
  <c r="H79" i="2"/>
  <c r="H76" i="2"/>
  <c r="H71" i="2"/>
  <c r="H68" i="2"/>
  <c r="H63" i="2"/>
  <c r="H60" i="2"/>
  <c r="H55" i="2"/>
  <c r="H52" i="2"/>
  <c r="H47" i="2"/>
  <c r="H44" i="2"/>
  <c r="H39" i="2"/>
  <c r="H36" i="2"/>
  <c r="H31" i="2"/>
  <c r="H28" i="2"/>
  <c r="H23" i="2"/>
  <c r="H21" i="2"/>
  <c r="H19" i="2"/>
  <c r="H17" i="2"/>
  <c r="H15" i="2"/>
  <c r="H13" i="2"/>
  <c r="H11" i="2"/>
  <c r="H9" i="2"/>
  <c r="H7" i="2"/>
  <c r="H5" i="2"/>
  <c r="H16" i="2"/>
  <c r="H14" i="2"/>
  <c r="H12" i="2"/>
  <c r="H10" i="2"/>
  <c r="H8" i="2"/>
  <c r="H6" i="2"/>
  <c r="H4" i="2"/>
  <c r="G242" i="2"/>
  <c r="I242" i="2" s="1"/>
  <c r="G237" i="2"/>
  <c r="I237" i="2" s="1"/>
  <c r="G226" i="2"/>
  <c r="I226" i="2" s="1"/>
  <c r="G144" i="2"/>
  <c r="I144" i="2" s="1"/>
  <c r="G101" i="2"/>
  <c r="I101" i="2" s="1"/>
  <c r="G48" i="2"/>
  <c r="I48" i="2" s="1"/>
  <c r="G37" i="2"/>
  <c r="I37" i="2" s="1"/>
  <c r="G362" i="2"/>
  <c r="I362" i="2" s="1"/>
  <c r="G358" i="2"/>
  <c r="I358" i="2" s="1"/>
  <c r="G354" i="2"/>
  <c r="I354" i="2" s="1"/>
  <c r="G348" i="2"/>
  <c r="I348" i="2" s="1"/>
  <c r="G344" i="2"/>
  <c r="I344" i="2" s="1"/>
  <c r="G340" i="2"/>
  <c r="I340" i="2" s="1"/>
  <c r="G334" i="2"/>
  <c r="I334" i="2" s="1"/>
  <c r="G330" i="2"/>
  <c r="I330" i="2" s="1"/>
  <c r="G326" i="2"/>
  <c r="I326" i="2" s="1"/>
  <c r="G322" i="2"/>
  <c r="I322" i="2" s="1"/>
  <c r="G318" i="2"/>
  <c r="I318" i="2" s="1"/>
  <c r="G314" i="2"/>
  <c r="I314" i="2" s="1"/>
  <c r="G310" i="2"/>
  <c r="I310" i="2" s="1"/>
  <c r="G306" i="2"/>
  <c r="I306" i="2" s="1"/>
  <c r="G302" i="2"/>
  <c r="I302" i="2" s="1"/>
  <c r="G296" i="2"/>
  <c r="I296" i="2" s="1"/>
  <c r="G292" i="2"/>
  <c r="I292" i="2" s="1"/>
  <c r="G288" i="2"/>
  <c r="I288" i="2" s="1"/>
  <c r="G284" i="2"/>
  <c r="I284" i="2" s="1"/>
  <c r="G280" i="2"/>
  <c r="I280" i="2" s="1"/>
  <c r="G276" i="2"/>
  <c r="I276" i="2" s="1"/>
  <c r="G272" i="2"/>
  <c r="I272" i="2" s="1"/>
  <c r="G268" i="2"/>
  <c r="I268" i="2" s="1"/>
  <c r="G264" i="2"/>
  <c r="I264" i="2" s="1"/>
  <c r="G260" i="2"/>
  <c r="I260" i="2" s="1"/>
  <c r="G258" i="2"/>
  <c r="I258" i="2" s="1"/>
  <c r="G256" i="2"/>
  <c r="I256" i="2" s="1"/>
  <c r="G254" i="2"/>
  <c r="I254" i="2" s="1"/>
  <c r="G252" i="2"/>
  <c r="I252" i="2" s="1"/>
  <c r="G248" i="2"/>
  <c r="I248" i="2" s="1"/>
  <c r="G246" i="2"/>
  <c r="I246" i="2" s="1"/>
  <c r="G244" i="2"/>
  <c r="I244" i="2" s="1"/>
  <c r="G239" i="2"/>
  <c r="I239" i="2" s="1"/>
  <c r="G236" i="2"/>
  <c r="I236" i="2" s="1"/>
  <c r="G231" i="2"/>
  <c r="I231" i="2" s="1"/>
  <c r="G228" i="2"/>
  <c r="I228" i="2" s="1"/>
  <c r="G223" i="2"/>
  <c r="I223" i="2" s="1"/>
  <c r="G220" i="2"/>
  <c r="I220" i="2" s="1"/>
  <c r="G214" i="2"/>
  <c r="I214" i="2" s="1"/>
  <c r="G210" i="2"/>
  <c r="I210" i="2" s="1"/>
  <c r="G204" i="2"/>
  <c r="I204" i="2" s="1"/>
  <c r="G200" i="2"/>
  <c r="I200" i="2" s="1"/>
  <c r="G196" i="2"/>
  <c r="I196" i="2" s="1"/>
  <c r="G192" i="2"/>
  <c r="I192" i="2" s="1"/>
  <c r="G188" i="2"/>
  <c r="I188" i="2" s="1"/>
  <c r="G173" i="2"/>
  <c r="I173" i="2" s="1"/>
  <c r="G152" i="2"/>
  <c r="I152" i="2" s="1"/>
  <c r="G141" i="2"/>
  <c r="I141" i="2" s="1"/>
  <c r="G120" i="2"/>
  <c r="I120" i="2" s="1"/>
  <c r="G109" i="2"/>
  <c r="I109" i="2" s="1"/>
  <c r="G88" i="2"/>
  <c r="I88" i="2" s="1"/>
  <c r="G77" i="2"/>
  <c r="I77" i="2" s="1"/>
  <c r="G56" i="2"/>
  <c r="I56" i="2" s="1"/>
  <c r="G45" i="2"/>
  <c r="I45" i="2" s="1"/>
  <c r="G24" i="2"/>
  <c r="I24" i="2" s="1"/>
  <c r="G13" i="2"/>
  <c r="I13" i="2" s="1"/>
  <c r="G234" i="2"/>
  <c r="I234" i="2" s="1"/>
  <c r="G221" i="2"/>
  <c r="I221" i="2" s="1"/>
  <c r="G165" i="2"/>
  <c r="I165" i="2" s="1"/>
  <c r="G112" i="2"/>
  <c r="I112" i="2" s="1"/>
  <c r="G69" i="2"/>
  <c r="I69" i="2" s="1"/>
  <c r="G363" i="2"/>
  <c r="I363" i="2" s="1"/>
  <c r="G360" i="2"/>
  <c r="I360" i="2" s="1"/>
  <c r="G356" i="2"/>
  <c r="I356" i="2" s="1"/>
  <c r="G350" i="2"/>
  <c r="I350" i="2" s="1"/>
  <c r="G346" i="2"/>
  <c r="I346" i="2" s="1"/>
  <c r="G342" i="2"/>
  <c r="I342" i="2" s="1"/>
  <c r="G338" i="2"/>
  <c r="I338" i="2" s="1"/>
  <c r="G336" i="2"/>
  <c r="I336" i="2" s="1"/>
  <c r="G332" i="2"/>
  <c r="I332" i="2" s="1"/>
  <c r="G328" i="2"/>
  <c r="I328" i="2" s="1"/>
  <c r="G324" i="2"/>
  <c r="I324" i="2" s="1"/>
  <c r="G320" i="2"/>
  <c r="I320" i="2" s="1"/>
  <c r="G316" i="2"/>
  <c r="I316" i="2" s="1"/>
  <c r="G312" i="2"/>
  <c r="I312" i="2" s="1"/>
  <c r="G308" i="2"/>
  <c r="I308" i="2" s="1"/>
  <c r="G304" i="2"/>
  <c r="I304" i="2" s="1"/>
  <c r="G300" i="2"/>
  <c r="I300" i="2" s="1"/>
  <c r="G298" i="2"/>
  <c r="I298" i="2" s="1"/>
  <c r="G294" i="2"/>
  <c r="I294" i="2" s="1"/>
  <c r="G290" i="2"/>
  <c r="I290" i="2" s="1"/>
  <c r="G286" i="2"/>
  <c r="I286" i="2" s="1"/>
  <c r="G282" i="2"/>
  <c r="I282" i="2" s="1"/>
  <c r="G278" i="2"/>
  <c r="I278" i="2" s="1"/>
  <c r="G274" i="2"/>
  <c r="I274" i="2" s="1"/>
  <c r="G270" i="2"/>
  <c r="I270" i="2" s="1"/>
  <c r="G266" i="2"/>
  <c r="I266" i="2" s="1"/>
  <c r="G262" i="2"/>
  <c r="I262" i="2" s="1"/>
  <c r="G250" i="2"/>
  <c r="I250" i="2" s="1"/>
  <c r="G241" i="2"/>
  <c r="I241" i="2" s="1"/>
  <c r="G238" i="2"/>
  <c r="I238" i="2" s="1"/>
  <c r="G233" i="2"/>
  <c r="I233" i="2" s="1"/>
  <c r="G230" i="2"/>
  <c r="I230" i="2" s="1"/>
  <c r="G225" i="2"/>
  <c r="I225" i="2" s="1"/>
  <c r="G222" i="2"/>
  <c r="I222" i="2" s="1"/>
  <c r="G217" i="2"/>
  <c r="I217" i="2" s="1"/>
  <c r="G160" i="2"/>
  <c r="I160" i="2" s="1"/>
  <c r="G149" i="2"/>
  <c r="I149" i="2" s="1"/>
  <c r="G128" i="2"/>
  <c r="I128" i="2" s="1"/>
  <c r="G117" i="2"/>
  <c r="I117" i="2" s="1"/>
  <c r="G96" i="2"/>
  <c r="I96" i="2" s="1"/>
  <c r="G85" i="2"/>
  <c r="I85" i="2" s="1"/>
  <c r="G64" i="2"/>
  <c r="I64" i="2" s="1"/>
  <c r="G53" i="2"/>
  <c r="I53" i="2" s="1"/>
  <c r="G32" i="2"/>
  <c r="I32" i="2" s="1"/>
  <c r="G21" i="2"/>
  <c r="I21" i="2" s="1"/>
  <c r="G229" i="2"/>
  <c r="I229" i="2" s="1"/>
  <c r="G218" i="2"/>
  <c r="I218" i="2" s="1"/>
  <c r="G133" i="2"/>
  <c r="I133" i="2" s="1"/>
  <c r="G80" i="2"/>
  <c r="I80" i="2" s="1"/>
  <c r="G16" i="2"/>
  <c r="I16" i="2" s="1"/>
  <c r="G352" i="2"/>
  <c r="I352" i="2" s="1"/>
  <c r="G364" i="2"/>
  <c r="I364" i="2" s="1"/>
  <c r="G361" i="2"/>
  <c r="I361" i="2" s="1"/>
  <c r="G359" i="2"/>
  <c r="I359" i="2" s="1"/>
  <c r="G357" i="2"/>
  <c r="I357" i="2" s="1"/>
  <c r="G355" i="2"/>
  <c r="I355" i="2" s="1"/>
  <c r="G353" i="2"/>
  <c r="I353" i="2" s="1"/>
  <c r="G351" i="2"/>
  <c r="I351" i="2" s="1"/>
  <c r="G349" i="2"/>
  <c r="I349" i="2" s="1"/>
  <c r="G347" i="2"/>
  <c r="I347" i="2" s="1"/>
  <c r="G345" i="2"/>
  <c r="I345" i="2" s="1"/>
  <c r="G343" i="2"/>
  <c r="I343" i="2" s="1"/>
  <c r="G341" i="2"/>
  <c r="I341" i="2" s="1"/>
  <c r="G339" i="2"/>
  <c r="I339" i="2" s="1"/>
  <c r="G337" i="2"/>
  <c r="I337" i="2" s="1"/>
  <c r="G335" i="2"/>
  <c r="I335" i="2" s="1"/>
  <c r="G333" i="2"/>
  <c r="I333" i="2" s="1"/>
  <c r="G331" i="2"/>
  <c r="I331" i="2" s="1"/>
  <c r="G329" i="2"/>
  <c r="I329" i="2" s="1"/>
  <c r="G327" i="2"/>
  <c r="I327" i="2" s="1"/>
  <c r="G325" i="2"/>
  <c r="I325" i="2" s="1"/>
  <c r="G323" i="2"/>
  <c r="I323" i="2" s="1"/>
  <c r="G321" i="2"/>
  <c r="I321" i="2" s="1"/>
  <c r="G319" i="2"/>
  <c r="I319" i="2" s="1"/>
  <c r="G317" i="2"/>
  <c r="I317" i="2" s="1"/>
  <c r="G315" i="2"/>
  <c r="I315" i="2" s="1"/>
  <c r="G313" i="2"/>
  <c r="I313" i="2" s="1"/>
  <c r="G311" i="2"/>
  <c r="I311" i="2" s="1"/>
  <c r="G309" i="2"/>
  <c r="I309" i="2" s="1"/>
  <c r="G307" i="2"/>
  <c r="I307" i="2" s="1"/>
  <c r="G305" i="2"/>
  <c r="I305" i="2" s="1"/>
  <c r="G303" i="2"/>
  <c r="I303" i="2" s="1"/>
  <c r="G301" i="2"/>
  <c r="I301" i="2" s="1"/>
  <c r="G299" i="2"/>
  <c r="I299" i="2" s="1"/>
  <c r="G297" i="2"/>
  <c r="I297" i="2" s="1"/>
  <c r="G295" i="2"/>
  <c r="I295" i="2" s="1"/>
  <c r="G293" i="2"/>
  <c r="I293" i="2" s="1"/>
  <c r="G291" i="2"/>
  <c r="I291" i="2" s="1"/>
  <c r="G289" i="2"/>
  <c r="I289" i="2" s="1"/>
  <c r="G287" i="2"/>
  <c r="I287" i="2" s="1"/>
  <c r="G285" i="2"/>
  <c r="I285" i="2" s="1"/>
  <c r="G283" i="2"/>
  <c r="I283" i="2" s="1"/>
  <c r="G281" i="2"/>
  <c r="I281" i="2" s="1"/>
  <c r="G279" i="2"/>
  <c r="I279" i="2" s="1"/>
  <c r="G277" i="2"/>
  <c r="I277" i="2" s="1"/>
  <c r="G275" i="2"/>
  <c r="I275" i="2" s="1"/>
  <c r="G273" i="2"/>
  <c r="I273" i="2" s="1"/>
  <c r="G271" i="2"/>
  <c r="I271" i="2" s="1"/>
  <c r="G269" i="2"/>
  <c r="I269" i="2" s="1"/>
  <c r="G267" i="2"/>
  <c r="I267" i="2" s="1"/>
  <c r="G265" i="2"/>
  <c r="I265" i="2" s="1"/>
  <c r="G263" i="2"/>
  <c r="I263" i="2" s="1"/>
  <c r="G261" i="2"/>
  <c r="I261" i="2" s="1"/>
  <c r="G259" i="2"/>
  <c r="I259" i="2" s="1"/>
  <c r="G257" i="2"/>
  <c r="I257" i="2" s="1"/>
  <c r="G255" i="2"/>
  <c r="I255" i="2" s="1"/>
  <c r="G253" i="2"/>
  <c r="I253" i="2" s="1"/>
  <c r="G251" i="2"/>
  <c r="I251" i="2" s="1"/>
  <c r="G249" i="2"/>
  <c r="I249" i="2" s="1"/>
  <c r="G247" i="2"/>
  <c r="I247" i="2" s="1"/>
  <c r="G245" i="2"/>
  <c r="I245" i="2" s="1"/>
  <c r="G243" i="2"/>
  <c r="I243" i="2" s="1"/>
  <c r="G240" i="2"/>
  <c r="I240" i="2" s="1"/>
  <c r="G235" i="2"/>
  <c r="I235" i="2" s="1"/>
  <c r="G232" i="2"/>
  <c r="I232" i="2" s="1"/>
  <c r="G227" i="2"/>
  <c r="I227" i="2" s="1"/>
  <c r="G224" i="2"/>
  <c r="I224" i="2" s="1"/>
  <c r="G219" i="2"/>
  <c r="I219" i="2" s="1"/>
  <c r="G216" i="2"/>
  <c r="I216" i="2" s="1"/>
  <c r="G212" i="2"/>
  <c r="I212" i="2" s="1"/>
  <c r="G208" i="2"/>
  <c r="I208" i="2" s="1"/>
  <c r="G206" i="2"/>
  <c r="I206" i="2" s="1"/>
  <c r="G202" i="2"/>
  <c r="I202" i="2" s="1"/>
  <c r="G198" i="2"/>
  <c r="I198" i="2" s="1"/>
  <c r="G194" i="2"/>
  <c r="I194" i="2" s="1"/>
  <c r="G190" i="2"/>
  <c r="I190" i="2" s="1"/>
  <c r="G168" i="2"/>
  <c r="I168" i="2" s="1"/>
  <c r="G157" i="2"/>
  <c r="I157" i="2" s="1"/>
  <c r="G136" i="2"/>
  <c r="I136" i="2" s="1"/>
  <c r="G125" i="2"/>
  <c r="I125" i="2" s="1"/>
  <c r="G104" i="2"/>
  <c r="I104" i="2" s="1"/>
  <c r="G93" i="2"/>
  <c r="I93" i="2" s="1"/>
  <c r="G72" i="2"/>
  <c r="I72" i="2" s="1"/>
  <c r="G61" i="2"/>
  <c r="I61" i="2" s="1"/>
  <c r="G40" i="2"/>
  <c r="I40" i="2" s="1"/>
  <c r="G29" i="2"/>
  <c r="I29" i="2" s="1"/>
  <c r="G8" i="2"/>
  <c r="I8" i="2" s="1"/>
  <c r="G215" i="2"/>
  <c r="I215" i="2" s="1"/>
  <c r="G213" i="2"/>
  <c r="I213" i="2" s="1"/>
  <c r="G211" i="2"/>
  <c r="I211" i="2" s="1"/>
  <c r="G209" i="2"/>
  <c r="I209" i="2" s="1"/>
  <c r="G207" i="2"/>
  <c r="I207" i="2" s="1"/>
  <c r="G205" i="2"/>
  <c r="I205" i="2" s="1"/>
  <c r="G203" i="2"/>
  <c r="I203" i="2" s="1"/>
  <c r="G201" i="2"/>
  <c r="I201" i="2" s="1"/>
  <c r="G199" i="2"/>
  <c r="I199" i="2" s="1"/>
  <c r="G197" i="2"/>
  <c r="I197" i="2" s="1"/>
  <c r="G195" i="2"/>
  <c r="I195" i="2" s="1"/>
  <c r="G193" i="2"/>
  <c r="I193" i="2" s="1"/>
  <c r="G191" i="2"/>
  <c r="I191" i="2" s="1"/>
  <c r="G189" i="2"/>
  <c r="I189" i="2" s="1"/>
  <c r="G187" i="2"/>
  <c r="I187" i="2" s="1"/>
  <c r="G185" i="2"/>
  <c r="I185" i="2" s="1"/>
  <c r="G183" i="2"/>
  <c r="I183" i="2" s="1"/>
  <c r="G181" i="2"/>
  <c r="I181" i="2" s="1"/>
  <c r="G179" i="2"/>
  <c r="I179" i="2" s="1"/>
  <c r="G177" i="2"/>
  <c r="I177" i="2" s="1"/>
  <c r="G175" i="2"/>
  <c r="I175" i="2" s="1"/>
  <c r="G170" i="2"/>
  <c r="I170" i="2" s="1"/>
  <c r="G167" i="2"/>
  <c r="I167" i="2" s="1"/>
  <c r="G162" i="2"/>
  <c r="I162" i="2" s="1"/>
  <c r="G159" i="2"/>
  <c r="I159" i="2" s="1"/>
  <c r="G154" i="2"/>
  <c r="I154" i="2" s="1"/>
  <c r="G151" i="2"/>
  <c r="I151" i="2" s="1"/>
  <c r="G146" i="2"/>
  <c r="I146" i="2" s="1"/>
  <c r="G143" i="2"/>
  <c r="I143" i="2" s="1"/>
  <c r="G138" i="2"/>
  <c r="I138" i="2" s="1"/>
  <c r="G135" i="2"/>
  <c r="I135" i="2" s="1"/>
  <c r="G130" i="2"/>
  <c r="I130" i="2" s="1"/>
  <c r="G127" i="2"/>
  <c r="I127" i="2" s="1"/>
  <c r="G122" i="2"/>
  <c r="I122" i="2" s="1"/>
  <c r="G119" i="2"/>
  <c r="I119" i="2" s="1"/>
  <c r="G114" i="2"/>
  <c r="I114" i="2" s="1"/>
  <c r="G111" i="2"/>
  <c r="I111" i="2" s="1"/>
  <c r="G106" i="2"/>
  <c r="I106" i="2" s="1"/>
  <c r="G103" i="2"/>
  <c r="I103" i="2" s="1"/>
  <c r="G98" i="2"/>
  <c r="I98" i="2" s="1"/>
  <c r="G95" i="2"/>
  <c r="I95" i="2" s="1"/>
  <c r="G90" i="2"/>
  <c r="I90" i="2" s="1"/>
  <c r="G87" i="2"/>
  <c r="I87" i="2" s="1"/>
  <c r="G82" i="2"/>
  <c r="I82" i="2" s="1"/>
  <c r="G79" i="2"/>
  <c r="I79" i="2" s="1"/>
  <c r="G74" i="2"/>
  <c r="I74" i="2" s="1"/>
  <c r="G71" i="2"/>
  <c r="I71" i="2" s="1"/>
  <c r="G66" i="2"/>
  <c r="I66" i="2" s="1"/>
  <c r="G63" i="2"/>
  <c r="I63" i="2" s="1"/>
  <c r="G58" i="2"/>
  <c r="I58" i="2" s="1"/>
  <c r="G55" i="2"/>
  <c r="I55" i="2" s="1"/>
  <c r="G50" i="2"/>
  <c r="I50" i="2" s="1"/>
  <c r="G47" i="2"/>
  <c r="I47" i="2" s="1"/>
  <c r="G42" i="2"/>
  <c r="I42" i="2" s="1"/>
  <c r="G39" i="2"/>
  <c r="I39" i="2" s="1"/>
  <c r="G34" i="2"/>
  <c r="I34" i="2" s="1"/>
  <c r="G31" i="2"/>
  <c r="I31" i="2" s="1"/>
  <c r="G26" i="2"/>
  <c r="I26" i="2" s="1"/>
  <c r="G23" i="2"/>
  <c r="I23" i="2" s="1"/>
  <c r="G18" i="2"/>
  <c r="I18" i="2" s="1"/>
  <c r="G15" i="2"/>
  <c r="I15" i="2" s="1"/>
  <c r="G10" i="2"/>
  <c r="I10" i="2" s="1"/>
  <c r="G7" i="2"/>
  <c r="I7" i="2" s="1"/>
  <c r="G172" i="2"/>
  <c r="I172" i="2" s="1"/>
  <c r="G169" i="2"/>
  <c r="I169" i="2" s="1"/>
  <c r="G164" i="2"/>
  <c r="I164" i="2" s="1"/>
  <c r="G161" i="2"/>
  <c r="I161" i="2" s="1"/>
  <c r="G156" i="2"/>
  <c r="I156" i="2" s="1"/>
  <c r="G153" i="2"/>
  <c r="I153" i="2" s="1"/>
  <c r="G148" i="2"/>
  <c r="I148" i="2" s="1"/>
  <c r="G145" i="2"/>
  <c r="I145" i="2" s="1"/>
  <c r="G140" i="2"/>
  <c r="I140" i="2" s="1"/>
  <c r="G137" i="2"/>
  <c r="I137" i="2" s="1"/>
  <c r="G132" i="2"/>
  <c r="I132" i="2" s="1"/>
  <c r="G129" i="2"/>
  <c r="I129" i="2" s="1"/>
  <c r="G124" i="2"/>
  <c r="I124" i="2" s="1"/>
  <c r="G121" i="2"/>
  <c r="I121" i="2" s="1"/>
  <c r="G116" i="2"/>
  <c r="I116" i="2" s="1"/>
  <c r="G113" i="2"/>
  <c r="I113" i="2" s="1"/>
  <c r="G108" i="2"/>
  <c r="I108" i="2" s="1"/>
  <c r="G105" i="2"/>
  <c r="I105" i="2" s="1"/>
  <c r="G100" i="2"/>
  <c r="I100" i="2" s="1"/>
  <c r="G97" i="2"/>
  <c r="I97" i="2" s="1"/>
  <c r="G92" i="2"/>
  <c r="I92" i="2" s="1"/>
  <c r="G89" i="2"/>
  <c r="I89" i="2" s="1"/>
  <c r="G84" i="2"/>
  <c r="I84" i="2" s="1"/>
  <c r="G81" i="2"/>
  <c r="I81" i="2" s="1"/>
  <c r="G76" i="2"/>
  <c r="I76" i="2" s="1"/>
  <c r="G73" i="2"/>
  <c r="I73" i="2" s="1"/>
  <c r="G68" i="2"/>
  <c r="I68" i="2" s="1"/>
  <c r="G65" i="2"/>
  <c r="I65" i="2" s="1"/>
  <c r="G60" i="2"/>
  <c r="I60" i="2" s="1"/>
  <c r="G57" i="2"/>
  <c r="I57" i="2" s="1"/>
  <c r="G52" i="2"/>
  <c r="I52" i="2" s="1"/>
  <c r="G49" i="2"/>
  <c r="I49" i="2" s="1"/>
  <c r="G44" i="2"/>
  <c r="I44" i="2" s="1"/>
  <c r="G41" i="2"/>
  <c r="I41" i="2" s="1"/>
  <c r="G36" i="2"/>
  <c r="I36" i="2" s="1"/>
  <c r="G33" i="2"/>
  <c r="I33" i="2" s="1"/>
  <c r="G28" i="2"/>
  <c r="I28" i="2" s="1"/>
  <c r="G25" i="2"/>
  <c r="I25" i="2" s="1"/>
  <c r="G20" i="2"/>
  <c r="I20" i="2" s="1"/>
  <c r="G17" i="2"/>
  <c r="I17" i="2" s="1"/>
  <c r="G12" i="2"/>
  <c r="I12" i="2" s="1"/>
  <c r="G9" i="2"/>
  <c r="I9" i="2" s="1"/>
  <c r="G186" i="2"/>
  <c r="I186" i="2" s="1"/>
  <c r="G184" i="2"/>
  <c r="I184" i="2" s="1"/>
  <c r="G182" i="2"/>
  <c r="I182" i="2" s="1"/>
  <c r="G180" i="2"/>
  <c r="I180" i="2" s="1"/>
  <c r="G178" i="2"/>
  <c r="I178" i="2" s="1"/>
  <c r="G176" i="2"/>
  <c r="I176" i="2" s="1"/>
  <c r="G174" i="2"/>
  <c r="I174" i="2" s="1"/>
  <c r="G171" i="2"/>
  <c r="I171" i="2" s="1"/>
  <c r="G166" i="2"/>
  <c r="I166" i="2" s="1"/>
  <c r="G163" i="2"/>
  <c r="I163" i="2" s="1"/>
  <c r="G158" i="2"/>
  <c r="I158" i="2" s="1"/>
  <c r="G155" i="2"/>
  <c r="I155" i="2" s="1"/>
  <c r="G150" i="2"/>
  <c r="I150" i="2" s="1"/>
  <c r="G147" i="2"/>
  <c r="I147" i="2" s="1"/>
  <c r="G142" i="2"/>
  <c r="I142" i="2" s="1"/>
  <c r="G139" i="2"/>
  <c r="I139" i="2" s="1"/>
  <c r="G134" i="2"/>
  <c r="I134" i="2" s="1"/>
  <c r="G131" i="2"/>
  <c r="I131" i="2" s="1"/>
  <c r="G126" i="2"/>
  <c r="I126" i="2" s="1"/>
  <c r="G123" i="2"/>
  <c r="I123" i="2" s="1"/>
  <c r="G118" i="2"/>
  <c r="I118" i="2" s="1"/>
  <c r="G115" i="2"/>
  <c r="I115" i="2" s="1"/>
  <c r="G110" i="2"/>
  <c r="I110" i="2" s="1"/>
  <c r="G107" i="2"/>
  <c r="G102" i="2"/>
  <c r="I102" i="2" s="1"/>
  <c r="G99" i="2"/>
  <c r="I99" i="2" s="1"/>
  <c r="G94" i="2"/>
  <c r="I94" i="2" s="1"/>
  <c r="G91" i="2"/>
  <c r="I91" i="2" s="1"/>
  <c r="G86" i="2"/>
  <c r="I86" i="2" s="1"/>
  <c r="G83" i="2"/>
  <c r="I83" i="2" s="1"/>
  <c r="G78" i="2"/>
  <c r="I78" i="2" s="1"/>
  <c r="G75" i="2"/>
  <c r="I75" i="2" s="1"/>
  <c r="G70" i="2"/>
  <c r="I70" i="2" s="1"/>
  <c r="G67" i="2"/>
  <c r="I67" i="2" s="1"/>
  <c r="G62" i="2"/>
  <c r="I62" i="2" s="1"/>
  <c r="G59" i="2"/>
  <c r="I59" i="2" s="1"/>
  <c r="G54" i="2"/>
  <c r="I54" i="2" s="1"/>
  <c r="G51" i="2"/>
  <c r="I51" i="2" s="1"/>
  <c r="G46" i="2"/>
  <c r="I46" i="2" s="1"/>
  <c r="G43" i="2"/>
  <c r="I43" i="2" s="1"/>
  <c r="G38" i="2"/>
  <c r="I38" i="2" s="1"/>
  <c r="G35" i="2"/>
  <c r="I35" i="2" s="1"/>
  <c r="G30" i="2"/>
  <c r="I30" i="2" s="1"/>
  <c r="G27" i="2"/>
  <c r="I27" i="2" s="1"/>
  <c r="G22" i="2"/>
  <c r="I22" i="2" s="1"/>
  <c r="G19" i="2"/>
  <c r="I19" i="2" s="1"/>
  <c r="G14" i="2"/>
  <c r="I14" i="2" s="1"/>
  <c r="G11" i="2"/>
  <c r="I11" i="2" s="1"/>
  <c r="G6" i="2"/>
  <c r="I6" i="2" s="1"/>
  <c r="G5" i="2"/>
  <c r="I5" i="2" s="1"/>
  <c r="G4" i="2"/>
  <c r="I4" i="2" l="1"/>
  <c r="C3" i="1"/>
  <c r="C3" i="6"/>
  <c r="I107" i="2"/>
  <c r="J107" i="2" s="1"/>
  <c r="B3" i="1"/>
  <c r="B3" i="6"/>
  <c r="F22" i="1"/>
  <c r="F23" i="1"/>
  <c r="F8" i="1"/>
  <c r="F10" i="1" s="1"/>
  <c r="F11" i="1" s="1"/>
  <c r="F14" i="1" s="1"/>
  <c r="F19" i="1" s="1"/>
  <c r="H22" i="6"/>
  <c r="F21" i="6"/>
  <c r="J5" i="2"/>
  <c r="J51" i="2"/>
  <c r="J99" i="2"/>
  <c r="J147" i="2"/>
  <c r="J184" i="2"/>
  <c r="J49" i="2"/>
  <c r="J97" i="2"/>
  <c r="J145" i="2"/>
  <c r="J7" i="2"/>
  <c r="J55" i="2"/>
  <c r="J103" i="2"/>
  <c r="J167" i="2"/>
  <c r="J195" i="2"/>
  <c r="J29" i="2"/>
  <c r="J198" i="2"/>
  <c r="J243" i="2"/>
  <c r="J275" i="2"/>
  <c r="J299" i="2"/>
  <c r="J323" i="2"/>
  <c r="J347" i="2"/>
  <c r="J133" i="2"/>
  <c r="J160" i="2"/>
  <c r="J274" i="2"/>
  <c r="J336" i="2"/>
  <c r="J69" i="2"/>
  <c r="J188" i="2"/>
  <c r="J239" i="2"/>
  <c r="J260" i="2"/>
  <c r="J292" i="2"/>
  <c r="J344" i="2"/>
  <c r="J144" i="2"/>
  <c r="J6" i="2"/>
  <c r="J22" i="2"/>
  <c r="J38" i="2"/>
  <c r="J54" i="2"/>
  <c r="J70" i="2"/>
  <c r="J86" i="2"/>
  <c r="J102" i="2"/>
  <c r="J118" i="2"/>
  <c r="J134" i="2"/>
  <c r="J150" i="2"/>
  <c r="J166" i="2"/>
  <c r="J178" i="2"/>
  <c r="J186" i="2"/>
  <c r="J20" i="2"/>
  <c r="J36" i="2"/>
  <c r="J52" i="2"/>
  <c r="J68" i="2"/>
  <c r="J84" i="2"/>
  <c r="J100" i="2"/>
  <c r="J116" i="2"/>
  <c r="J132" i="2"/>
  <c r="J148" i="2"/>
  <c r="J164" i="2"/>
  <c r="J10" i="2"/>
  <c r="J26" i="2"/>
  <c r="J42" i="2"/>
  <c r="J58" i="2"/>
  <c r="J74" i="2"/>
  <c r="J90" i="2"/>
  <c r="J106" i="2"/>
  <c r="J122" i="2"/>
  <c r="J138" i="2"/>
  <c r="J154" i="2"/>
  <c r="J170" i="2"/>
  <c r="J181" i="2"/>
  <c r="J189" i="2"/>
  <c r="J197" i="2"/>
  <c r="J205" i="2"/>
  <c r="J213" i="2"/>
  <c r="J40" i="2"/>
  <c r="J104" i="2"/>
  <c r="J168" i="2"/>
  <c r="J202" i="2"/>
  <c r="J216" i="2"/>
  <c r="J232" i="2"/>
  <c r="J245" i="2"/>
  <c r="J253" i="2"/>
  <c r="J261" i="2"/>
  <c r="J269" i="2"/>
  <c r="J277" i="2"/>
  <c r="J285" i="2"/>
  <c r="J293" i="2"/>
  <c r="J301" i="2"/>
  <c r="J309" i="2"/>
  <c r="J317" i="2"/>
  <c r="J325" i="2"/>
  <c r="J333" i="2"/>
  <c r="J341" i="2"/>
  <c r="J349" i="2"/>
  <c r="J357" i="2"/>
  <c r="J352" i="2"/>
  <c r="J218" i="2"/>
  <c r="J53" i="2"/>
  <c r="J117" i="2"/>
  <c r="J217" i="2"/>
  <c r="J233" i="2"/>
  <c r="J262" i="2"/>
  <c r="J278" i="2"/>
  <c r="J294" i="2"/>
  <c r="J308" i="2"/>
  <c r="J324" i="2"/>
  <c r="J338" i="2"/>
  <c r="J356" i="2"/>
  <c r="J112" i="2"/>
  <c r="J13" i="2"/>
  <c r="J77" i="2"/>
  <c r="J141" i="2"/>
  <c r="J192" i="2"/>
  <c r="J210" i="2"/>
  <c r="J228" i="2"/>
  <c r="J244" i="2"/>
  <c r="J254" i="2"/>
  <c r="J264" i="2"/>
  <c r="J280" i="2"/>
  <c r="J296" i="2"/>
  <c r="J314" i="2"/>
  <c r="J330" i="2"/>
  <c r="J348" i="2"/>
  <c r="J37" i="2"/>
  <c r="J226" i="2"/>
  <c r="J19" i="2"/>
  <c r="J67" i="2"/>
  <c r="J115" i="2"/>
  <c r="J163" i="2"/>
  <c r="J17" i="2"/>
  <c r="J81" i="2"/>
  <c r="J129" i="2"/>
  <c r="J23" i="2"/>
  <c r="J71" i="2"/>
  <c r="J119" i="2"/>
  <c r="J151" i="2"/>
  <c r="J179" i="2"/>
  <c r="J211" i="2"/>
  <c r="J157" i="2"/>
  <c r="J227" i="2"/>
  <c r="J259" i="2"/>
  <c r="J283" i="2"/>
  <c r="J307" i="2"/>
  <c r="J331" i="2"/>
  <c r="J355" i="2"/>
  <c r="J32" i="2"/>
  <c r="J230" i="2"/>
  <c r="J290" i="2"/>
  <c r="J320" i="2"/>
  <c r="J234" i="2"/>
  <c r="J120" i="2"/>
  <c r="J223" i="2"/>
  <c r="J276" i="2"/>
  <c r="J310" i="2"/>
  <c r="J362" i="2"/>
  <c r="J11" i="2"/>
  <c r="J27" i="2"/>
  <c r="J43" i="2"/>
  <c r="J59" i="2"/>
  <c r="J75" i="2"/>
  <c r="J91" i="2"/>
  <c r="J123" i="2"/>
  <c r="J139" i="2"/>
  <c r="J155" i="2"/>
  <c r="J171" i="2"/>
  <c r="J180" i="2"/>
  <c r="J9" i="2"/>
  <c r="J25" i="2"/>
  <c r="J41" i="2"/>
  <c r="J57" i="2"/>
  <c r="J73" i="2"/>
  <c r="J89" i="2"/>
  <c r="J105" i="2"/>
  <c r="J121" i="2"/>
  <c r="J137" i="2"/>
  <c r="J153" i="2"/>
  <c r="J169" i="2"/>
  <c r="J15" i="2"/>
  <c r="J31" i="2"/>
  <c r="J47" i="2"/>
  <c r="J63" i="2"/>
  <c r="J79" i="2"/>
  <c r="J95" i="2"/>
  <c r="J111" i="2"/>
  <c r="J127" i="2"/>
  <c r="J143" i="2"/>
  <c r="J159" i="2"/>
  <c r="J175" i="2"/>
  <c r="J183" i="2"/>
  <c r="J191" i="2"/>
  <c r="J199" i="2"/>
  <c r="J207" i="2"/>
  <c r="J215" i="2"/>
  <c r="J61" i="2"/>
  <c r="J125" i="2"/>
  <c r="J190" i="2"/>
  <c r="J206" i="2"/>
  <c r="J219" i="2"/>
  <c r="J235" i="2"/>
  <c r="J247" i="2"/>
  <c r="J255" i="2"/>
  <c r="J263" i="2"/>
  <c r="J271" i="2"/>
  <c r="J279" i="2"/>
  <c r="J287" i="2"/>
  <c r="J295" i="2"/>
  <c r="J303" i="2"/>
  <c r="J311" i="2"/>
  <c r="J319" i="2"/>
  <c r="J327" i="2"/>
  <c r="J335" i="2"/>
  <c r="J343" i="2"/>
  <c r="J351" i="2"/>
  <c r="J359" i="2"/>
  <c r="J16" i="2"/>
  <c r="J229" i="2"/>
  <c r="J64" i="2"/>
  <c r="J128" i="2"/>
  <c r="J222" i="2"/>
  <c r="J238" i="2"/>
  <c r="J266" i="2"/>
  <c r="J282" i="2"/>
  <c r="J298" i="2"/>
  <c r="J312" i="2"/>
  <c r="J328" i="2"/>
  <c r="J342" i="2"/>
  <c r="J360" i="2"/>
  <c r="J165" i="2"/>
  <c r="J24" i="2"/>
  <c r="J88" i="2"/>
  <c r="J152" i="2"/>
  <c r="J196" i="2"/>
  <c r="J214" i="2"/>
  <c r="J231" i="2"/>
  <c r="J246" i="2"/>
  <c r="J256" i="2"/>
  <c r="J268" i="2"/>
  <c r="J284" i="2"/>
  <c r="J302" i="2"/>
  <c r="J318" i="2"/>
  <c r="J334" i="2"/>
  <c r="J354" i="2"/>
  <c r="J48" i="2"/>
  <c r="J237" i="2"/>
  <c r="J35" i="2"/>
  <c r="J83" i="2"/>
  <c r="J131" i="2"/>
  <c r="J176" i="2"/>
  <c r="J33" i="2"/>
  <c r="J65" i="2"/>
  <c r="J113" i="2"/>
  <c r="J161" i="2"/>
  <c r="J39" i="2"/>
  <c r="J87" i="2"/>
  <c r="J135" i="2"/>
  <c r="J187" i="2"/>
  <c r="J203" i="2"/>
  <c r="J93" i="2"/>
  <c r="J212" i="2"/>
  <c r="J251" i="2"/>
  <c r="J267" i="2"/>
  <c r="J291" i="2"/>
  <c r="J315" i="2"/>
  <c r="J339" i="2"/>
  <c r="J364" i="2"/>
  <c r="J96" i="2"/>
  <c r="J250" i="2"/>
  <c r="J304" i="2"/>
  <c r="J350" i="2"/>
  <c r="J56" i="2"/>
  <c r="J204" i="2"/>
  <c r="J252" i="2"/>
  <c r="J326" i="2"/>
  <c r="J4" i="2"/>
  <c r="J14" i="2"/>
  <c r="J30" i="2"/>
  <c r="J46" i="2"/>
  <c r="J62" i="2"/>
  <c r="J78" i="2"/>
  <c r="J94" i="2"/>
  <c r="J110" i="2"/>
  <c r="J126" i="2"/>
  <c r="J142" i="2"/>
  <c r="J158" i="2"/>
  <c r="J174" i="2"/>
  <c r="J182" i="2"/>
  <c r="J12" i="2"/>
  <c r="J28" i="2"/>
  <c r="J44" i="2"/>
  <c r="J60" i="2"/>
  <c r="J76" i="2"/>
  <c r="J92" i="2"/>
  <c r="J108" i="2"/>
  <c r="J124" i="2"/>
  <c r="J140" i="2"/>
  <c r="J156" i="2"/>
  <c r="J172" i="2"/>
  <c r="J18" i="2"/>
  <c r="J34" i="2"/>
  <c r="J50" i="2"/>
  <c r="J66" i="2"/>
  <c r="J82" i="2"/>
  <c r="J98" i="2"/>
  <c r="J114" i="2"/>
  <c r="J130" i="2"/>
  <c r="J146" i="2"/>
  <c r="J162" i="2"/>
  <c r="J177" i="2"/>
  <c r="J185" i="2"/>
  <c r="J193" i="2"/>
  <c r="J201" i="2"/>
  <c r="J209" i="2"/>
  <c r="J8" i="2"/>
  <c r="J72" i="2"/>
  <c r="J136" i="2"/>
  <c r="J194" i="2"/>
  <c r="J208" i="2"/>
  <c r="J224" i="2"/>
  <c r="J240" i="2"/>
  <c r="J249" i="2"/>
  <c r="J257" i="2"/>
  <c r="J265" i="2"/>
  <c r="J273" i="2"/>
  <c r="J281" i="2"/>
  <c r="J289" i="2"/>
  <c r="J297" i="2"/>
  <c r="J305" i="2"/>
  <c r="J313" i="2"/>
  <c r="J321" i="2"/>
  <c r="J329" i="2"/>
  <c r="J337" i="2"/>
  <c r="J345" i="2"/>
  <c r="J353" i="2"/>
  <c r="J361" i="2"/>
  <c r="J80" i="2"/>
  <c r="J21" i="2"/>
  <c r="J85" i="2"/>
  <c r="J149" i="2"/>
  <c r="J225" i="2"/>
  <c r="J241" i="2"/>
  <c r="J270" i="2"/>
  <c r="J286" i="2"/>
  <c r="J300" i="2"/>
  <c r="J316" i="2"/>
  <c r="J332" i="2"/>
  <c r="J346" i="2"/>
  <c r="J363" i="2"/>
  <c r="J221" i="2"/>
  <c r="J45" i="2"/>
  <c r="J109" i="2"/>
  <c r="J173" i="2"/>
  <c r="J200" i="2"/>
  <c r="J220" i="2"/>
  <c r="J236" i="2"/>
  <c r="J248" i="2"/>
  <c r="J258" i="2"/>
  <c r="J272" i="2"/>
  <c r="J288" i="2"/>
  <c r="J306" i="2"/>
  <c r="J322" i="2"/>
  <c r="J340" i="2"/>
  <c r="J358" i="2"/>
  <c r="J101" i="2"/>
  <c r="J242" i="2"/>
  <c r="K99" i="2" a="1"/>
  <c r="K97" i="2" a="1"/>
  <c r="K103" i="2" a="1"/>
  <c r="K198" i="2" a="1"/>
  <c r="K323" i="2" a="1"/>
  <c r="K274" i="2" a="1"/>
  <c r="K239" i="2" a="1"/>
  <c r="K144" i="2" a="1"/>
  <c r="K54" i="2" a="1"/>
  <c r="K118" i="2" a="1"/>
  <c r="K178" i="2" a="1"/>
  <c r="K52" i="2" a="1"/>
  <c r="K116" i="2" a="1"/>
  <c r="K10" i="2" a="1"/>
  <c r="K74" i="2" a="1"/>
  <c r="K138" i="2" a="1"/>
  <c r="K189" i="2" a="1"/>
  <c r="K40" i="2" a="1"/>
  <c r="K216" i="2" a="1"/>
  <c r="K261" i="2" a="1"/>
  <c r="K293" i="2" a="1"/>
  <c r="K325" i="2" a="1"/>
  <c r="K357" i="2" a="1"/>
  <c r="K117" i="2" a="1"/>
  <c r="K278" i="2" a="1"/>
  <c r="K338" i="2" a="1"/>
  <c r="K77" i="2" a="1"/>
  <c r="K228" i="2" a="1"/>
  <c r="K280" i="2" a="1"/>
  <c r="K348" i="2" a="1"/>
  <c r="K67" i="2" a="1"/>
  <c r="K81" i="2" a="1"/>
  <c r="K119" i="2" a="1"/>
  <c r="K157" i="2" a="1"/>
  <c r="K307" i="2" a="1"/>
  <c r="K230" i="2" a="1"/>
  <c r="K120" i="2" a="1"/>
  <c r="K362" i="2" a="1"/>
  <c r="K59" i="2" a="1"/>
  <c r="K123" i="2" a="1"/>
  <c r="K180" i="2" a="1"/>
  <c r="K57" i="2" a="1"/>
  <c r="K121" i="2" a="1"/>
  <c r="K15" i="2" a="1"/>
  <c r="K79" i="2" a="1"/>
  <c r="K143" i="2" a="1"/>
  <c r="K191" i="2" a="1"/>
  <c r="K61" i="2" a="1"/>
  <c r="K219" i="2" a="1"/>
  <c r="K263" i="2" a="1"/>
  <c r="K295" i="2" a="1"/>
  <c r="K327" i="2" a="1"/>
  <c r="K359" i="2" a="1"/>
  <c r="K128" i="2" a="1"/>
  <c r="K282" i="2" a="1"/>
  <c r="K342" i="2" a="1"/>
  <c r="K88" i="2" a="1"/>
  <c r="K231" i="2" a="1"/>
  <c r="K284" i="2" a="1"/>
  <c r="K354" i="2" a="1"/>
  <c r="K83" i="2" a="1"/>
  <c r="K65" i="2" a="1"/>
  <c r="K87" i="2" a="1"/>
  <c r="K93" i="2" a="1"/>
  <c r="K291" i="2" a="1"/>
  <c r="K96" i="2" a="1"/>
  <c r="K56" i="2" a="1"/>
  <c r="K4" i="2" a="1"/>
  <c r="K62" i="2" a="1"/>
  <c r="K126" i="2" a="1"/>
  <c r="K182" i="2" a="1"/>
  <c r="K60" i="2" a="1"/>
  <c r="K124" i="2" a="1"/>
  <c r="K18" i="2" a="1"/>
  <c r="K82" i="2" a="1"/>
  <c r="K146" i="2" a="1"/>
  <c r="K193" i="2" a="1"/>
  <c r="K72" i="2" a="1"/>
  <c r="K224" i="2" a="1"/>
  <c r="K265" i="2" a="1"/>
  <c r="K297" i="2" a="1"/>
  <c r="K329" i="2" a="1"/>
  <c r="K361" i="2" a="1"/>
  <c r="K149" i="2" a="1"/>
  <c r="K286" i="2" a="1"/>
  <c r="K346" i="2" a="1"/>
  <c r="K109" i="2" a="1"/>
  <c r="K236" i="2" a="1"/>
  <c r="K288" i="2" a="1"/>
  <c r="K358" i="2" a="1"/>
  <c r="K147" i="2" a="1"/>
  <c r="K145" i="2" a="1"/>
  <c r="K167" i="2" a="1"/>
  <c r="K243" i="2" a="1"/>
  <c r="K347" i="2" a="1"/>
  <c r="K336" i="2" a="1"/>
  <c r="K260" i="2" a="1"/>
  <c r="K6" i="2" a="1"/>
  <c r="K70" i="2" a="1"/>
  <c r="K134" i="2" a="1"/>
  <c r="K186" i="2" a="1"/>
  <c r="K68" i="2" a="1"/>
  <c r="K132" i="2" a="1"/>
  <c r="K26" i="2" a="1"/>
  <c r="K90" i="2" a="1"/>
  <c r="K154" i="2" a="1"/>
  <c r="K197" i="2" a="1"/>
  <c r="K104" i="2" a="1"/>
  <c r="K232" i="2" a="1"/>
  <c r="K269" i="2" a="1"/>
  <c r="K301" i="2" a="1"/>
  <c r="K333" i="2" a="1"/>
  <c r="K352" i="2" a="1"/>
  <c r="K217" i="2" a="1"/>
  <c r="K294" i="2" a="1"/>
  <c r="K356" i="2" a="1"/>
  <c r="K141" i="2" a="1"/>
  <c r="K244" i="2" a="1"/>
  <c r="K296" i="2" a="1"/>
  <c r="K37" i="2" a="1"/>
  <c r="K115" i="2" a="1"/>
  <c r="K129" i="2" a="1"/>
  <c r="K151" i="2" a="1"/>
  <c r="K227" i="2" a="1"/>
  <c r="K331" i="2" a="1"/>
  <c r="K290" i="2" a="1"/>
  <c r="K223" i="2" a="1"/>
  <c r="K11" i="2" a="1"/>
  <c r="K75" i="2" a="1"/>
  <c r="K139" i="2" a="1"/>
  <c r="K9" i="2" a="1"/>
  <c r="K73" i="2" a="1"/>
  <c r="K137" i="2" a="1"/>
  <c r="K31" i="2" a="1"/>
  <c r="K95" i="2" a="1"/>
  <c r="K159" i="2" a="1"/>
  <c r="K199" i="2" a="1"/>
  <c r="K125" i="2" a="1"/>
  <c r="K235" i="2" a="1"/>
  <c r="K271" i="2" a="1"/>
  <c r="K303" i="2" a="1"/>
  <c r="K335" i="2" a="1"/>
  <c r="K16" i="2" a="1"/>
  <c r="K222" i="2" a="1"/>
  <c r="K298" i="2" a="1"/>
  <c r="K360" i="2" a="1"/>
  <c r="K152" i="2" a="1"/>
  <c r="K246" i="2" a="1"/>
  <c r="K302" i="2" a="1"/>
  <c r="K48" i="2" a="1"/>
  <c r="K131" i="2" a="1"/>
  <c r="K113" i="2" a="1"/>
  <c r="K135" i="2" a="1"/>
  <c r="K212" i="2" a="1"/>
  <c r="K315" i="2" a="1"/>
  <c r="K250" i="2" a="1"/>
  <c r="K204" i="2" a="1"/>
  <c r="K14" i="2" a="1"/>
  <c r="K78" i="2" a="1"/>
  <c r="K142" i="2" a="1"/>
  <c r="K12" i="2" a="1"/>
  <c r="K76" i="2" a="1"/>
  <c r="K140" i="2" a="1"/>
  <c r="K34" i="2" a="1"/>
  <c r="K98" i="2" a="1"/>
  <c r="K162" i="2" a="1"/>
  <c r="K201" i="2" a="1"/>
  <c r="K136" i="2" a="1"/>
  <c r="K240" i="2" a="1"/>
  <c r="K273" i="2" a="1"/>
  <c r="K305" i="2" a="1"/>
  <c r="K337" i="2" a="1"/>
  <c r="K80" i="2" a="1"/>
  <c r="K225" i="2" a="1"/>
  <c r="K300" i="2" a="1"/>
  <c r="K363" i="2" a="1"/>
  <c r="K173" i="2" a="1"/>
  <c r="K248" i="2" a="1"/>
  <c r="K306" i="2" a="1"/>
  <c r="K101" i="2" a="1"/>
  <c r="K5" i="2" a="1"/>
  <c r="K184" i="2" a="1"/>
  <c r="K7" i="2" a="1"/>
  <c r="K195" i="2" a="1"/>
  <c r="K275" i="2" a="1"/>
  <c r="K133" i="2" a="1"/>
  <c r="K69" i="2" a="1"/>
  <c r="K292" i="2" a="1"/>
  <c r="K22" i="2" a="1"/>
  <c r="K86" i="2" a="1"/>
  <c r="K150" i="2" a="1"/>
  <c r="K20" i="2" a="1"/>
  <c r="K84" i="2" a="1"/>
  <c r="K148" i="2" a="1"/>
  <c r="K42" i="2" a="1"/>
  <c r="K106" i="2" a="1"/>
  <c r="K170" i="2" a="1"/>
  <c r="K205" i="2" a="1"/>
  <c r="K168" i="2" a="1"/>
  <c r="K245" i="2" a="1"/>
  <c r="K277" i="2" a="1"/>
  <c r="K309" i="2" a="1"/>
  <c r="K341" i="2" a="1"/>
  <c r="K218" i="2" a="1"/>
  <c r="K233" i="2" a="1"/>
  <c r="K308" i="2" a="1"/>
  <c r="K112" i="2" a="1"/>
  <c r="K192" i="2" a="1"/>
  <c r="K254" i="2" a="1"/>
  <c r="K314" i="2" a="1"/>
  <c r="K226" i="2" a="1"/>
  <c r="K163" i="2" a="1"/>
  <c r="K23" i="2" a="1"/>
  <c r="K179" i="2" a="1"/>
  <c r="K259" i="2" a="1"/>
  <c r="K355" i="2" a="1"/>
  <c r="K320" i="2" a="1"/>
  <c r="K276" i="2" a="1"/>
  <c r="K27" i="2" a="1"/>
  <c r="K91" i="2" a="1"/>
  <c r="K155" i="2" a="1"/>
  <c r="K25" i="2" a="1"/>
  <c r="K89" i="2" a="1"/>
  <c r="K153" i="2" a="1"/>
  <c r="K47" i="2" a="1"/>
  <c r="K111" i="2" a="1"/>
  <c r="K175" i="2" a="1"/>
  <c r="K207" i="2" a="1"/>
  <c r="K190" i="2" a="1"/>
  <c r="K247" i="2" a="1"/>
  <c r="K279" i="2" a="1"/>
  <c r="K311" i="2" a="1"/>
  <c r="K343" i="2" a="1"/>
  <c r="K229" i="2" a="1"/>
  <c r="K238" i="2" a="1"/>
  <c r="K312" i="2" a="1"/>
  <c r="K165" i="2" a="1"/>
  <c r="K196" i="2" a="1"/>
  <c r="K256" i="2" a="1"/>
  <c r="K318" i="2" a="1"/>
  <c r="K237" i="2" a="1"/>
  <c r="K176" i="2" a="1"/>
  <c r="K161" i="2" a="1"/>
  <c r="K187" i="2" a="1"/>
  <c r="K251" i="2" a="1"/>
  <c r="K339" i="2" a="1"/>
  <c r="K304" i="2" a="1"/>
  <c r="K252" i="2" a="1"/>
  <c r="K30" i="2" a="1"/>
  <c r="K94" i="2" a="1"/>
  <c r="K158" i="2" a="1"/>
  <c r="K28" i="2" a="1"/>
  <c r="K92" i="2" a="1"/>
  <c r="K156" i="2" a="1"/>
  <c r="K50" i="2" a="1"/>
  <c r="K114" i="2" a="1"/>
  <c r="K177" i="2" a="1"/>
  <c r="K209" i="2" a="1"/>
  <c r="K194" i="2" a="1"/>
  <c r="K249" i="2" a="1"/>
  <c r="K281" i="2" a="1"/>
  <c r="K313" i="2" a="1"/>
  <c r="K345" i="2" a="1"/>
  <c r="K21" i="2" a="1"/>
  <c r="K241" i="2" a="1"/>
  <c r="K316" i="2" a="1"/>
  <c r="K221" i="2" a="1"/>
  <c r="K200" i="2" a="1"/>
  <c r="K258" i="2" a="1"/>
  <c r="K322" i="2" a="1"/>
  <c r="K242" i="2" a="1"/>
  <c r="K51" i="2" a="1"/>
  <c r="K49" i="2" a="1"/>
  <c r="K55" i="2" a="1"/>
  <c r="K29" i="2" a="1"/>
  <c r="K299" i="2" a="1"/>
  <c r="K160" i="2" a="1"/>
  <c r="K188" i="2" a="1"/>
  <c r="K344" i="2" a="1"/>
  <c r="K38" i="2" a="1"/>
  <c r="K102" i="2" a="1"/>
  <c r="K166" i="2" a="1"/>
  <c r="K36" i="2" a="1"/>
  <c r="K100" i="2" a="1"/>
  <c r="K164" i="2" a="1"/>
  <c r="K58" i="2" a="1"/>
  <c r="K122" i="2" a="1"/>
  <c r="K181" i="2" a="1"/>
  <c r="K213" i="2" a="1"/>
  <c r="K202" i="2" a="1"/>
  <c r="K253" i="2" a="1"/>
  <c r="K285" i="2" a="1"/>
  <c r="K317" i="2" a="1"/>
  <c r="K349" i="2" a="1"/>
  <c r="K53" i="2" a="1"/>
  <c r="K262" i="2" a="1"/>
  <c r="K324" i="2" a="1"/>
  <c r="K13" i="2" a="1"/>
  <c r="K210" i="2" a="1"/>
  <c r="K264" i="2" a="1"/>
  <c r="K330" i="2" a="1"/>
  <c r="K19" i="2" a="1"/>
  <c r="K17" i="2" a="1"/>
  <c r="K71" i="2" a="1"/>
  <c r="K211" i="2" a="1"/>
  <c r="K283" i="2" a="1"/>
  <c r="K32" i="2" a="1"/>
  <c r="K234" i="2" a="1"/>
  <c r="K310" i="2" a="1"/>
  <c r="K43" i="2" a="1"/>
  <c r="K107" i="2" a="1"/>
  <c r="K171" i="2" a="1"/>
  <c r="K41" i="2" a="1"/>
  <c r="K105" i="2" a="1"/>
  <c r="K169" i="2" a="1"/>
  <c r="K63" i="2" a="1"/>
  <c r="K127" i="2" a="1"/>
  <c r="K183" i="2" a="1"/>
  <c r="K215" i="2" a="1"/>
  <c r="K206" i="2" a="1"/>
  <c r="K255" i="2" a="1"/>
  <c r="K287" i="2" a="1"/>
  <c r="K319" i="2" a="1"/>
  <c r="K351" i="2" a="1"/>
  <c r="K64" i="2" a="1"/>
  <c r="K266" i="2" a="1"/>
  <c r="K328" i="2" a="1"/>
  <c r="K24" i="2" a="1"/>
  <c r="K214" i="2" a="1"/>
  <c r="K268" i="2" a="1"/>
  <c r="K334" i="2" a="1"/>
  <c r="K35" i="2" a="1"/>
  <c r="K33" i="2" a="1"/>
  <c r="K39" i="2" a="1"/>
  <c r="K203" i="2" a="1"/>
  <c r="K267" i="2" a="1"/>
  <c r="K364" i="2" a="1"/>
  <c r="K350" i="2" a="1"/>
  <c r="K326" i="2" a="1"/>
  <c r="K46" i="2" a="1"/>
  <c r="K110" i="2" a="1"/>
  <c r="K174" i="2" a="1"/>
  <c r="K44" i="2" a="1"/>
  <c r="K108" i="2" a="1"/>
  <c r="K172" i="2" a="1"/>
  <c r="K66" i="2" a="1"/>
  <c r="K130" i="2" a="1"/>
  <c r="K185" i="2" a="1"/>
  <c r="K8" i="2" a="1"/>
  <c r="K208" i="2" a="1"/>
  <c r="K257" i="2" a="1"/>
  <c r="K289" i="2" a="1"/>
  <c r="K321" i="2" a="1"/>
  <c r="K353" i="2" a="1"/>
  <c r="K85" i="2" a="1"/>
  <c r="K270" i="2" a="1"/>
  <c r="K332" i="2" a="1"/>
  <c r="K45" i="2" a="1"/>
  <c r="K220" i="2" a="1"/>
  <c r="K272" i="2" a="1"/>
  <c r="K340" i="2" a="1"/>
  <c r="K340" i="2" l="1"/>
  <c r="K272" i="2"/>
  <c r="K220" i="2"/>
  <c r="K45" i="2"/>
  <c r="K332" i="2"/>
  <c r="K270" i="2"/>
  <c r="K85" i="2"/>
  <c r="K353" i="2"/>
  <c r="K321" i="2"/>
  <c r="K289" i="2"/>
  <c r="K257" i="2"/>
  <c r="K208" i="2"/>
  <c r="K8" i="2"/>
  <c r="K185" i="2"/>
  <c r="K130" i="2"/>
  <c r="K66" i="2"/>
  <c r="K172" i="2"/>
  <c r="K108" i="2"/>
  <c r="K44" i="2"/>
  <c r="K174" i="2"/>
  <c r="K110" i="2"/>
  <c r="K46" i="2"/>
  <c r="K326" i="2"/>
  <c r="K350" i="2"/>
  <c r="K364" i="2"/>
  <c r="K267" i="2"/>
  <c r="K203" i="2"/>
  <c r="K39" i="2"/>
  <c r="K33" i="2"/>
  <c r="K35" i="2"/>
  <c r="K334" i="2"/>
  <c r="K268" i="2"/>
  <c r="K214" i="2"/>
  <c r="K24" i="2"/>
  <c r="K328" i="2"/>
  <c r="K266" i="2"/>
  <c r="K64" i="2"/>
  <c r="K351" i="2"/>
  <c r="K319" i="2"/>
  <c r="K287" i="2"/>
  <c r="K255" i="2"/>
  <c r="K206" i="2"/>
  <c r="K215" i="2"/>
  <c r="K183" i="2"/>
  <c r="K127" i="2"/>
  <c r="K63" i="2"/>
  <c r="K169" i="2"/>
  <c r="K105" i="2"/>
  <c r="K41" i="2"/>
  <c r="K171" i="2"/>
  <c r="K107" i="2"/>
  <c r="K43" i="2"/>
  <c r="K310" i="2"/>
  <c r="K234" i="2"/>
  <c r="K32" i="2"/>
  <c r="K283" i="2"/>
  <c r="K211" i="2"/>
  <c r="K71" i="2"/>
  <c r="K17" i="2"/>
  <c r="K19" i="2"/>
  <c r="K330" i="2"/>
  <c r="K264" i="2"/>
  <c r="K210" i="2"/>
  <c r="K13" i="2"/>
  <c r="K324" i="2"/>
  <c r="K262" i="2"/>
  <c r="K53" i="2"/>
  <c r="K349" i="2"/>
  <c r="K317" i="2"/>
  <c r="K285" i="2"/>
  <c r="K253" i="2"/>
  <c r="K202" i="2"/>
  <c r="K213" i="2"/>
  <c r="K181" i="2"/>
  <c r="K122" i="2"/>
  <c r="K58" i="2"/>
  <c r="K164" i="2"/>
  <c r="K100" i="2"/>
  <c r="K36" i="2"/>
  <c r="K166" i="2"/>
  <c r="K102" i="2"/>
  <c r="K38" i="2"/>
  <c r="K344" i="2"/>
  <c r="K188" i="2"/>
  <c r="K160" i="2"/>
  <c r="K299" i="2"/>
  <c r="K29" i="2"/>
  <c r="K55" i="2"/>
  <c r="K49" i="2"/>
  <c r="K51" i="2"/>
  <c r="K242" i="2"/>
  <c r="K322" i="2"/>
  <c r="K258" i="2"/>
  <c r="K200" i="2"/>
  <c r="K221" i="2"/>
  <c r="K316" i="2"/>
  <c r="K241" i="2"/>
  <c r="K21" i="2"/>
  <c r="K345" i="2"/>
  <c r="K313" i="2"/>
  <c r="K281" i="2"/>
  <c r="K249" i="2"/>
  <c r="K194" i="2"/>
  <c r="K209" i="2"/>
  <c r="K177" i="2"/>
  <c r="K114" i="2"/>
  <c r="K50" i="2"/>
  <c r="K156" i="2"/>
  <c r="K92" i="2"/>
  <c r="K28" i="2"/>
  <c r="K158" i="2"/>
  <c r="K94" i="2"/>
  <c r="K30" i="2"/>
  <c r="K252" i="2"/>
  <c r="K304" i="2"/>
  <c r="K339" i="2"/>
  <c r="K251" i="2"/>
  <c r="K187" i="2"/>
  <c r="K161" i="2"/>
  <c r="K176" i="2"/>
  <c r="K237" i="2"/>
  <c r="K318" i="2"/>
  <c r="K256" i="2"/>
  <c r="K196" i="2"/>
  <c r="K165" i="2"/>
  <c r="K312" i="2"/>
  <c r="K238" i="2"/>
  <c r="K229" i="2"/>
  <c r="K343" i="2"/>
  <c r="K311" i="2"/>
  <c r="K279" i="2"/>
  <c r="K247" i="2"/>
  <c r="K190" i="2"/>
  <c r="K207" i="2"/>
  <c r="K175" i="2"/>
  <c r="K111" i="2"/>
  <c r="K47" i="2"/>
  <c r="K153" i="2"/>
  <c r="K89" i="2"/>
  <c r="K25" i="2"/>
  <c r="K155" i="2"/>
  <c r="K91" i="2"/>
  <c r="K27" i="2"/>
  <c r="K276" i="2"/>
  <c r="K320" i="2"/>
  <c r="K355" i="2"/>
  <c r="K259" i="2"/>
  <c r="K179" i="2"/>
  <c r="K23" i="2"/>
  <c r="K163" i="2"/>
  <c r="K226" i="2"/>
  <c r="K314" i="2"/>
  <c r="K254" i="2"/>
  <c r="K192" i="2"/>
  <c r="K112" i="2"/>
  <c r="K308" i="2"/>
  <c r="K233" i="2"/>
  <c r="K218" i="2"/>
  <c r="K341" i="2"/>
  <c r="K309" i="2"/>
  <c r="K277" i="2"/>
  <c r="K245" i="2"/>
  <c r="K168" i="2"/>
  <c r="K205" i="2"/>
  <c r="K170" i="2"/>
  <c r="K106" i="2"/>
  <c r="K42" i="2"/>
  <c r="K148" i="2"/>
  <c r="K84" i="2"/>
  <c r="K20" i="2"/>
  <c r="K150" i="2"/>
  <c r="K86" i="2"/>
  <c r="K22" i="2"/>
  <c r="K292" i="2"/>
  <c r="K69" i="2"/>
  <c r="K133" i="2"/>
  <c r="K275" i="2"/>
  <c r="K195" i="2"/>
  <c r="K7" i="2"/>
  <c r="K184" i="2"/>
  <c r="K5" i="2"/>
  <c r="K101" i="2"/>
  <c r="K306" i="2"/>
  <c r="K248" i="2"/>
  <c r="K173" i="2"/>
  <c r="K363" i="2"/>
  <c r="K300" i="2"/>
  <c r="K225" i="2"/>
  <c r="K80" i="2"/>
  <c r="K337" i="2"/>
  <c r="K305" i="2"/>
  <c r="K273" i="2"/>
  <c r="K240" i="2"/>
  <c r="K136" i="2"/>
  <c r="K201" i="2"/>
  <c r="K162" i="2"/>
  <c r="K98" i="2"/>
  <c r="K34" i="2"/>
  <c r="K140" i="2"/>
  <c r="K76" i="2"/>
  <c r="K12" i="2"/>
  <c r="K142" i="2"/>
  <c r="K78" i="2"/>
  <c r="K14" i="2"/>
  <c r="K204" i="2"/>
  <c r="K250" i="2"/>
  <c r="K315" i="2"/>
  <c r="K212" i="2"/>
  <c r="K135" i="2"/>
  <c r="K113" i="2"/>
  <c r="K131" i="2"/>
  <c r="K48" i="2"/>
  <c r="K302" i="2"/>
  <c r="K246" i="2"/>
  <c r="K152" i="2"/>
  <c r="K360" i="2"/>
  <c r="K298" i="2"/>
  <c r="K222" i="2"/>
  <c r="K16" i="2"/>
  <c r="K335" i="2"/>
  <c r="K303" i="2"/>
  <c r="K271" i="2"/>
  <c r="K235" i="2"/>
  <c r="K125" i="2"/>
  <c r="K199" i="2"/>
  <c r="K159" i="2"/>
  <c r="K95" i="2"/>
  <c r="K31" i="2"/>
  <c r="K137" i="2"/>
  <c r="K73" i="2"/>
  <c r="K9" i="2"/>
  <c r="K139" i="2"/>
  <c r="K75" i="2"/>
  <c r="K11" i="2"/>
  <c r="K223" i="2"/>
  <c r="K290" i="2"/>
  <c r="K331" i="2"/>
  <c r="K227" i="2"/>
  <c r="K151" i="2"/>
  <c r="K129" i="2"/>
  <c r="K115" i="2"/>
  <c r="K37" i="2"/>
  <c r="K296" i="2"/>
  <c r="K244" i="2"/>
  <c r="K141" i="2"/>
  <c r="K356" i="2"/>
  <c r="K294" i="2"/>
  <c r="K217" i="2"/>
  <c r="K352" i="2"/>
  <c r="K333" i="2"/>
  <c r="K301" i="2"/>
  <c r="K269" i="2"/>
  <c r="K232" i="2"/>
  <c r="K104" i="2"/>
  <c r="K197" i="2"/>
  <c r="K154" i="2"/>
  <c r="K90" i="2"/>
  <c r="K26" i="2"/>
  <c r="K132" i="2"/>
  <c r="K68" i="2"/>
  <c r="K186" i="2"/>
  <c r="K134" i="2"/>
  <c r="K70" i="2"/>
  <c r="K6" i="2"/>
  <c r="K260" i="2"/>
  <c r="K336" i="2"/>
  <c r="K347" i="2"/>
  <c r="K243" i="2"/>
  <c r="K167" i="2"/>
  <c r="K145" i="2"/>
  <c r="K147" i="2"/>
  <c r="K358" i="2"/>
  <c r="K288" i="2"/>
  <c r="K236" i="2"/>
  <c r="K109" i="2"/>
  <c r="K346" i="2"/>
  <c r="K286" i="2"/>
  <c r="K149" i="2"/>
  <c r="K361" i="2"/>
  <c r="K329" i="2"/>
  <c r="K297" i="2"/>
  <c r="K265" i="2"/>
  <c r="K224" i="2"/>
  <c r="K72" i="2"/>
  <c r="K193" i="2"/>
  <c r="K146" i="2"/>
  <c r="K82" i="2"/>
  <c r="K18" i="2"/>
  <c r="K124" i="2"/>
  <c r="K60" i="2"/>
  <c r="K182" i="2"/>
  <c r="K126" i="2"/>
  <c r="K62" i="2"/>
  <c r="K4" i="2"/>
  <c r="K56" i="2"/>
  <c r="K96" i="2"/>
  <c r="K291" i="2"/>
  <c r="K93" i="2"/>
  <c r="K87" i="2"/>
  <c r="K65" i="2"/>
  <c r="K83" i="2"/>
  <c r="K354" i="2"/>
  <c r="K284" i="2"/>
  <c r="K231" i="2"/>
  <c r="K88" i="2"/>
  <c r="K342" i="2"/>
  <c r="K282" i="2"/>
  <c r="K128" i="2"/>
  <c r="K359" i="2"/>
  <c r="K327" i="2"/>
  <c r="K295" i="2"/>
  <c r="K263" i="2"/>
  <c r="K219" i="2"/>
  <c r="K61" i="2"/>
  <c r="K191" i="2"/>
  <c r="K143" i="2"/>
  <c r="K79" i="2"/>
  <c r="K15" i="2"/>
  <c r="K121" i="2"/>
  <c r="K57" i="2"/>
  <c r="K180" i="2"/>
  <c r="K123" i="2"/>
  <c r="K59" i="2"/>
  <c r="K362" i="2"/>
  <c r="K120" i="2"/>
  <c r="K230" i="2"/>
  <c r="K307" i="2"/>
  <c r="K157" i="2"/>
  <c r="K119" i="2"/>
  <c r="K81" i="2"/>
  <c r="K67" i="2"/>
  <c r="K348" i="2"/>
  <c r="K280" i="2"/>
  <c r="K228" i="2"/>
  <c r="K77" i="2"/>
  <c r="K338" i="2"/>
  <c r="K278" i="2"/>
  <c r="K117" i="2"/>
  <c r="K357" i="2"/>
  <c r="K325" i="2"/>
  <c r="K293" i="2"/>
  <c r="K261" i="2"/>
  <c r="K216" i="2"/>
  <c r="K40" i="2"/>
  <c r="K189" i="2"/>
  <c r="K138" i="2"/>
  <c r="K74" i="2"/>
  <c r="K10" i="2"/>
  <c r="K116" i="2"/>
  <c r="K52" i="2"/>
  <c r="K178" i="2"/>
  <c r="K118" i="2"/>
  <c r="K54" i="2"/>
  <c r="K144" i="2"/>
  <c r="K239" i="2"/>
  <c r="K274" i="2"/>
  <c r="K323" i="2"/>
  <c r="K198" i="2"/>
  <c r="K103" i="2"/>
  <c r="K97" i="2"/>
  <c r="K99" i="2"/>
  <c r="B4" i="6"/>
  <c r="B4" i="1"/>
  <c r="C4" i="1"/>
  <c r="C4" i="6"/>
  <c r="G23" i="1"/>
  <c r="G8" i="1"/>
  <c r="G10" i="1" s="1"/>
  <c r="G11" i="1" s="1"/>
  <c r="G22" i="1"/>
  <c r="G21" i="6"/>
  <c r="I22" i="6"/>
  <c r="D15" i="6" a="1"/>
  <c r="F15" i="6" a="1"/>
  <c r="H15" i="6" a="1"/>
  <c r="E15" i="6" a="1"/>
  <c r="G15" i="6" a="1"/>
  <c r="I15" i="6" a="1"/>
  <c r="E16" i="1" a="1"/>
  <c r="D16" i="1" a="1"/>
  <c r="F16" i="1" a="1"/>
  <c r="D16" i="1" l="1"/>
  <c r="E16" i="1"/>
  <c r="I15" i="6"/>
  <c r="G15" i="6"/>
  <c r="E15" i="6"/>
  <c r="H15" i="6"/>
  <c r="F15" i="6"/>
  <c r="D15" i="6"/>
  <c r="B2" i="1"/>
  <c r="B2" i="6"/>
  <c r="C2" i="1"/>
  <c r="C2" i="6"/>
  <c r="G14" i="1"/>
  <c r="G19" i="1" s="1"/>
  <c r="C33" i="1"/>
  <c r="F16" i="1"/>
  <c r="H22" i="1"/>
  <c r="H8" i="1"/>
  <c r="H10" i="1" s="1"/>
  <c r="H11" i="1" s="1"/>
  <c r="H14" i="1" s="1"/>
  <c r="H19" i="1" s="1"/>
  <c r="H23" i="1"/>
  <c r="G24" i="1"/>
  <c r="G25" i="1" s="1"/>
  <c r="E17" i="1"/>
  <c r="E18" i="1"/>
  <c r="H21" i="6"/>
  <c r="G16" i="1" a="1"/>
  <c r="D17" i="6" l="1"/>
  <c r="D16" i="6"/>
  <c r="G17" i="6"/>
  <c r="G16" i="6"/>
  <c r="C23" i="6"/>
  <c r="E23" i="6"/>
  <c r="E24" i="6" s="1"/>
  <c r="E25" i="6" s="1"/>
  <c r="D23" i="6"/>
  <c r="D24" i="6" s="1"/>
  <c r="D25" i="6" s="1"/>
  <c r="F23" i="6"/>
  <c r="F24" i="6" s="1"/>
  <c r="F25" i="6" s="1"/>
  <c r="G23" i="6"/>
  <c r="G24" i="6" s="1"/>
  <c r="H23" i="6"/>
  <c r="H24" i="6" s="1"/>
  <c r="H25" i="6" s="1"/>
  <c r="F16" i="6"/>
  <c r="F17" i="6"/>
  <c r="I16" i="6"/>
  <c r="I17" i="6"/>
  <c r="C24" i="1"/>
  <c r="D24" i="1"/>
  <c r="D25" i="1" s="1"/>
  <c r="D26" i="1" s="1"/>
  <c r="E24" i="1"/>
  <c r="E25" i="1" s="1"/>
  <c r="F24" i="1"/>
  <c r="F25" i="1" s="1"/>
  <c r="H17" i="6"/>
  <c r="H16" i="6"/>
  <c r="I23" i="6"/>
  <c r="I24" i="6" s="1"/>
  <c r="I25" i="6" s="1"/>
  <c r="I27" i="6" s="1"/>
  <c r="I28" i="6" s="1"/>
  <c r="E16" i="6"/>
  <c r="E17" i="6"/>
  <c r="D17" i="1"/>
  <c r="D18" i="1"/>
  <c r="H27" i="6"/>
  <c r="H28" i="6" s="1"/>
  <c r="G33" i="6" s="1"/>
  <c r="D32" i="6"/>
  <c r="E32" i="6" s="1"/>
  <c r="G32" i="6" s="1"/>
  <c r="G16" i="1"/>
  <c r="G26" i="1"/>
  <c r="G28" i="1" s="1"/>
  <c r="G29" i="1" s="1"/>
  <c r="I23" i="1"/>
  <c r="I24" i="1" s="1"/>
  <c r="I25" i="1" s="1"/>
  <c r="H24" i="1"/>
  <c r="H25" i="1" s="1"/>
  <c r="I22" i="1"/>
  <c r="I8" i="1"/>
  <c r="I10" i="1" s="1"/>
  <c r="I11" i="1" s="1"/>
  <c r="I14" i="1" s="1"/>
  <c r="I19" i="1" s="1"/>
  <c r="F17" i="1"/>
  <c r="F18" i="1"/>
  <c r="H26" i="6"/>
  <c r="I21" i="6"/>
  <c r="I26" i="6" s="1"/>
  <c r="H16" i="1" a="1"/>
  <c r="G34" i="6" l="1"/>
  <c r="D28" i="1"/>
  <c r="D29" i="1" s="1"/>
  <c r="D27" i="1"/>
  <c r="F27" i="6"/>
  <c r="F28" i="6" s="1"/>
  <c r="F26" i="6"/>
  <c r="D27" i="6"/>
  <c r="D28" i="6" s="1"/>
  <c r="D26" i="6"/>
  <c r="F26" i="1"/>
  <c r="F27" i="1" s="1"/>
  <c r="E27" i="6"/>
  <c r="E28" i="6" s="1"/>
  <c r="E26" i="6"/>
  <c r="G27" i="1"/>
  <c r="D34" i="1"/>
  <c r="E34" i="1" s="1"/>
  <c r="G34" i="1" s="1"/>
  <c r="E26" i="1"/>
  <c r="E27" i="1" s="1"/>
  <c r="G25" i="6"/>
  <c r="G26" i="6" s="1"/>
  <c r="G27" i="6"/>
  <c r="G28" i="6" s="1"/>
  <c r="H16" i="1"/>
  <c r="I26" i="1"/>
  <c r="I28" i="1" s="1"/>
  <c r="I29" i="1" s="1"/>
  <c r="H26" i="1"/>
  <c r="G18" i="1"/>
  <c r="G17" i="1"/>
  <c r="I16" i="1" a="1"/>
  <c r="I27" i="1" l="1"/>
  <c r="F28" i="1"/>
  <c r="F29" i="1" s="1"/>
  <c r="E28" i="1"/>
  <c r="E29" i="1" s="1"/>
  <c r="H27" i="1"/>
  <c r="D33" i="1"/>
  <c r="E33" i="1" s="1"/>
  <c r="G33" i="1" s="1"/>
  <c r="I16" i="1"/>
  <c r="H18" i="1"/>
  <c r="H17" i="1"/>
  <c r="H28" i="1"/>
  <c r="H29" i="1" s="1"/>
  <c r="G36" i="1" s="1"/>
  <c r="I18" i="1" l="1"/>
  <c r="I1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<sst xmlns="http://schemas.openxmlformats.org/spreadsheetml/2006/main" count="158" uniqueCount="78">
  <si>
    <t>date</t>
  </si>
  <si>
    <t>temp</t>
  </si>
  <si>
    <t>pressure</t>
  </si>
  <si>
    <t>humidity</t>
  </si>
  <si>
    <t>Source</t>
  </si>
  <si>
    <t>Архив погоды в Ахвазе (аэропорт) (rp5.ru)</t>
  </si>
  <si>
    <t>pressure_kpa</t>
  </si>
  <si>
    <t>humidity_ratio</t>
  </si>
  <si>
    <t>wet_bulb_thermo</t>
  </si>
  <si>
    <t>wet_bulb_simple</t>
  </si>
  <si>
    <t>approach</t>
  </si>
  <si>
    <t>C</t>
  </si>
  <si>
    <t>Tcold</t>
  </si>
  <si>
    <t>Thot</t>
  </si>
  <si>
    <t>delta T</t>
  </si>
  <si>
    <t>evaporation</t>
  </si>
  <si>
    <t>month</t>
  </si>
  <si>
    <t>SEASON</t>
  </si>
  <si>
    <t>Summer</t>
  </si>
  <si>
    <t>April - October</t>
  </si>
  <si>
    <t>SUMMER</t>
  </si>
  <si>
    <t>WINTER</t>
  </si>
  <si>
    <t>EVAPORATION</t>
  </si>
  <si>
    <t>EVAPORATION coefficient</t>
  </si>
  <si>
    <t>Wet bulb temperature</t>
  </si>
  <si>
    <t>Average thot</t>
  </si>
  <si>
    <t>Parameter</t>
  </si>
  <si>
    <t>unit</t>
  </si>
  <si>
    <t>MU</t>
  </si>
  <si>
    <t>Cycles</t>
  </si>
  <si>
    <t>pH</t>
  </si>
  <si>
    <t>TDS</t>
  </si>
  <si>
    <t>Alkalinity</t>
  </si>
  <si>
    <t>Hardness</t>
  </si>
  <si>
    <t>Calcium</t>
  </si>
  <si>
    <t>Suplhate</t>
  </si>
  <si>
    <t>Chloride</t>
  </si>
  <si>
    <t>pHs</t>
  </si>
  <si>
    <t>Langelier</t>
  </si>
  <si>
    <t>Ryznar</t>
  </si>
  <si>
    <t>CaSO4 saturation</t>
  </si>
  <si>
    <t>Larsen - Skold</t>
  </si>
  <si>
    <t>Technical parameters</t>
  </si>
  <si>
    <t>Holding volume</t>
  </si>
  <si>
    <t>Makeup</t>
  </si>
  <si>
    <t>Blowdown</t>
  </si>
  <si>
    <t>Holding time index</t>
  </si>
  <si>
    <t>units</t>
  </si>
  <si>
    <t>ppm</t>
  </si>
  <si>
    <t>meq/l</t>
  </si>
  <si>
    <t>c.meters/hour</t>
  </si>
  <si>
    <t>c.meters</t>
  </si>
  <si>
    <t>hours</t>
  </si>
  <si>
    <t>Recirculation</t>
  </si>
  <si>
    <t>Scale inhibitor</t>
  </si>
  <si>
    <t>Delta T</t>
  </si>
  <si>
    <t>MU water price</t>
  </si>
  <si>
    <t>BD water price</t>
  </si>
  <si>
    <t>EUR/tone</t>
  </si>
  <si>
    <t>Cost of water</t>
  </si>
  <si>
    <t>EUR/hour</t>
  </si>
  <si>
    <t>EUR/year</t>
  </si>
  <si>
    <t>Working hours</t>
  </si>
  <si>
    <t>hours/year</t>
  </si>
  <si>
    <t>Model</t>
  </si>
  <si>
    <t>Optimal cycles</t>
  </si>
  <si>
    <t>scale inhibitor</t>
  </si>
  <si>
    <t>dosage, ppm</t>
  </si>
  <si>
    <t>dosage, kg/h</t>
  </si>
  <si>
    <t>dosage kg/year</t>
  </si>
  <si>
    <t>price</t>
  </si>
  <si>
    <t>cost</t>
  </si>
  <si>
    <t>pH target</t>
  </si>
  <si>
    <t>H2SO4</t>
  </si>
  <si>
    <t>Water cost</t>
  </si>
  <si>
    <t>Total cost</t>
  </si>
  <si>
    <t>Dispersant</t>
  </si>
  <si>
    <t>Without dispersant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</si>
</sst>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dd/mm/yy;@"/>
    <numFmt numFmtId="169" formatCode="_-* #,##0.00\ _₽_-;\-* #,##0.00\ _₽_-;_-* &quot;-&quot;??\ _₽_-;_-@_-"/>
    <numFmt numFmtId="177" formatCode="_-* #,##0.000000_-;\-* #,##0.000000_-;_-* &quot;-&quot;??_-;_-@_-"/>
    <numFmt numFmtId="179" formatCode="_-* #,##0_-;\-* #,##0_-;_-* &quot;-&quot;??_-;_-@_-"/>
  </numFmts>
  <fonts count="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</font>
    <font>
      <u/>
      <sz val="11"/>
      <color theme="1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164" fontId="0" fillId="0" borderId="0" xfId="0" applyNumberFormat="1"/>
    <xf numFmtId="164" fontId="3" fillId="0" borderId="1" xfId="0" applyNumberFormat="1" applyFont="1" applyBorder="1" applyAlignment="1">
      <alignment horizontal="center" vertical="top"/>
    </xf>
    <xf numFmtId="43" fontId="4" fillId="0" borderId="0" xfId="1" applyFont="1"/>
    <xf numFmtId="43" fontId="3" fillId="0" borderId="1" xfId="1" applyFont="1" applyBorder="1" applyAlignment="1">
      <alignment horizontal="center" vertical="top"/>
    </xf>
    <xf numFmtId="43" fontId="0" fillId="0" borderId="0" xfId="1" applyFont="1"/>
    <xf numFmtId="0" fontId="3" fillId="0" borderId="2" xfId="0" applyFont="1" applyBorder="1" applyAlignment="1">
      <alignment horizontal="center" vertical="top"/>
    </xf>
    <xf numFmtId="9" fontId="0" fillId="0" borderId="0" xfId="2" applyFont="1"/>
    <xf numFmtId="9" fontId="3" fillId="0" borderId="2" xfId="2" applyFont="1" applyBorder="1" applyAlignment="1">
      <alignment horizontal="center" vertical="top"/>
    </xf>
    <xf numFmtId="169" fontId="0" fillId="0" borderId="0" xfId="0" applyNumberFormat="1"/>
    <xf numFmtId="0" fontId="5" fillId="2" borderId="2" xfId="0" applyFont="1" applyFill="1" applyBorder="1" applyAlignment="1">
      <alignment horizontal="center" vertical="top"/>
    </xf>
    <xf numFmtId="43" fontId="5" fillId="2" borderId="2" xfId="1" applyFont="1" applyFill="1" applyBorder="1" applyAlignment="1">
      <alignment horizontal="center" vertical="top"/>
    </xf>
    <xf numFmtId="177" fontId="0" fillId="0" borderId="0" xfId="1" applyNumberFormat="1" applyFont="1"/>
    <xf numFmtId="177" fontId="5" fillId="2" borderId="2" xfId="1" applyNumberFormat="1" applyFont="1" applyFill="1" applyBorder="1" applyAlignment="1">
      <alignment horizontal="center" vertical="top"/>
    </xf>
    <xf numFmtId="0" fontId="0" fillId="0" borderId="1" xfId="0" applyBorder="1"/>
    <xf numFmtId="0" fontId="0" fillId="0" borderId="3" xfId="0" applyBorder="1" applyAlignment="1">
      <alignment horizontal="center"/>
    </xf>
    <xf numFmtId="0" fontId="2" fillId="0" borderId="1" xfId="0" applyFont="1" applyBorder="1" applyAlignment="1">
      <alignment horizontal="center"/>
    </xf>
    <xf numFmtId="43" fontId="0" fillId="0" borderId="1" xfId="1" applyFont="1" applyBorder="1"/>
    <xf numFmtId="179" fontId="0" fillId="0" borderId="1" xfId="1" applyNumberFormat="1" applyFont="1" applyBorder="1"/>
    <xf numFmtId="169" fontId="0" fillId="0" borderId="1" xfId="0" applyNumberFormat="1" applyBorder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/>
    <xf numFmtId="0" fontId="2" fillId="3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169" fontId="0" fillId="0" borderId="1" xfId="0" applyNumberFormat="1" applyFont="1" applyBorder="1"/>
    <xf numFmtId="0" fontId="2" fillId="0" borderId="0" xfId="0" applyFont="1" applyFill="1" applyBorder="1"/>
    <xf numFmtId="0" fontId="0" fillId="0" borderId="1" xfId="0" applyFill="1" applyBorder="1"/>
    <xf numFmtId="0" fontId="2" fillId="0" borderId="4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/>
    </xf>
    <xf numFmtId="0" fontId="2" fillId="0" borderId="0" xfId="0" applyFont="1"/>
    <xf numFmtId="43" fontId="0" fillId="0" borderId="0" xfId="0" applyNumberFormat="1"/>
    <xf numFmtId="0" fontId="0" fillId="3" borderId="0" xfId="0" applyFill="1"/>
  </cellXfs>
  <cellStyles count="3">
    <cellStyle name="Обычный" xfId="0" builtinId="0"/>
    <cellStyle name="Процентный" xfId="2" builtinId="5"/>
    <cellStyle name="Финансовый" xfId="1" builtinId="3"/>
  </cellStyles>
  <dxfs count="18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177" formatCode="_-* #,##0.000000_-;\-* #,##0.000000_-;_-* &quot;-&quot;??_-;_-@_-"/>
    </dxf>
    <dxf>
      <numFmt numFmtId="0" formatCode="General"/>
    </dxf>
    <dxf>
      <numFmt numFmtId="0" formatCode="General"/>
    </dxf>
    <dxf>
      <numFmt numFmtId="169" formatCode="_-* #,##0.00\ _₽_-;\-* #,##0.00\ _₽_-;_-* &quot;-&quot;??\ _₽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4" formatCode="dd/mm/yy;@"/>
      <alignment horizontal="center" vertical="top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CC4CAD4-3267-462D-AEEF-55B69F6EC99E}" name="Таблица1" displayName="Таблица1" ref="A3:M364" totalsRowShown="0" headerRowDxfId="16">
  <autoFilter ref="A3:M364" xr:uid="{1CC4CAD4-3267-462D-AEEF-55B69F6EC99E}"/>
  <tableColumns count="13">
    <tableColumn id="1" xr3:uid="{25C70392-D918-4B81-9098-168289A161C6}" name="date" dataDxfId="17"/>
    <tableColumn id="2" xr3:uid="{DAA990D0-703A-4C3C-8E92-2CE05336BBAF}" name="temp" dataCellStyle="Финансовый"/>
    <tableColumn id="3" xr3:uid="{D6CF4FC6-6167-4498-8A09-5EF02B6B94BA}" name="pressure" dataCellStyle="Финансовый"/>
    <tableColumn id="4" xr3:uid="{38A6CC6A-F0E3-4598-B171-BC28D06DAD99}" name="humidity" dataCellStyle="Финансовый"/>
    <tableColumn id="5" xr3:uid="{8C8F6453-D3DB-4D09-B7DA-A42FCFB7C3F9}" name="pressure_kpa" dataDxfId="15" dataCellStyle="Финансовый">
      <calculatedColumnFormula>Таблица1[[#This Row],[pressure]]/760*101325</calculatedColumnFormula>
    </tableColumn>
    <tableColumn id="6" xr3:uid="{ADFD53D4-2F07-4033-B1C8-038CCDAB3AE9}" name="humidity_ratio" dataCellStyle="Процентный">
      <calculatedColumnFormula>Таблица1[[#This Row],[humidity]]/100</calculatedColumnFormula>
    </tableColumn>
    <tableColumn id="7" xr3:uid="{54AFA243-F25C-4435-9FEC-330C4FA5060C}" name="wet_bulb_thermo" dataDxfId="14" dataCellStyle="Финансовый">
      <calculatedColumnFormula array="1">wet_bulb_temp(Таблица1[[#This Row],[temp]],Таблица1[[#This Row],[humidity_ratio]],Таблица1[[#This Row],[pressure_kpa]])</calculatedColumnFormula>
    </tableColumn>
    <tableColumn id="8" xr3:uid="{5D67B316-D34E-40B1-95B8-37A9BBEEC700}" name="wet_bulb_simple" dataCellStyle="Финансовый">
      <calculatedColumnFormula array="1">wet_bulb_temp_simple(Таблица1[[#This Row],[temp]],Таблица1[[#This Row],[humidity]])</calculatedColumnFormula>
    </tableColumn>
    <tableColumn id="9" xr3:uid="{0FA6721D-C0B2-4184-9AED-962DACCF2F6C}" name="Tcold" dataCellStyle="Финансовый">
      <calculatedColumnFormula>IF(Таблица1[[#This Row],[wet_bulb_thermo]]+$F$1&lt;20,20,Таблица1[[#This Row],[wet_bulb_thermo]]+$F$1)</calculatedColumnFormula>
    </tableColumn>
    <tableColumn id="10" xr3:uid="{51CC7E0A-BBDC-44A5-8D88-223CD847CEDF}" name="Thot" dataDxfId="13">
      <calculatedColumnFormula>Таблица1[[#This Row],[Tcold]]+$I$1</calculatedColumnFormula>
    </tableColumn>
    <tableColumn id="11" xr3:uid="{ECB6BA06-13B8-4452-9361-8226788CFE21}" name="evaporation" dataDxfId="10" dataCellStyle="Финансовый">
      <calculatedColumnFormula array="1">evaporation(Таблица1[[#This Row],[Thot]],Таблица1[[#This Row],[Tcold]],Таблица1[[#This Row],[temp]],Таблица1[[#This Row],[humidity_ratio]],Таблица1[[#This Row],[pressure_kpa]])/$I$1</calculatedColumnFormula>
    </tableColumn>
    <tableColumn id="12" xr3:uid="{DFEC3ABF-6840-44C1-97F5-3F925BB4D9BF}" name="month" dataDxfId="12">
      <calculatedColumnFormula>MONTH(Таблица1[[#This Row],[date]])</calculatedColumnFormula>
    </tableColumn>
    <tableColumn id="13" xr3:uid="{9AEF5571-6F47-4CE7-B7E1-5DABB06A476C}" name="SEASON" dataDxfId="11">
      <calculatedColumnFormula>IF(AND(Таблица1[[#This Row],[month]]&gt;3, Таблица1[[#This Row],[month]]&lt;11),"SUMMER","WINTER")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rp5.ru/%D0%90%D1%80%D1%85%D0%B8%D0%B2_%D0%BF%D0%BE%D0%B3%D0%BE%D0%B4%D1%8B_%D0%B2_%D0%90%D1%85%D0%B2%D0%B0%D0%B7%D0%B5_(%D0%B0%D1%8D%D1%80%D0%BE%D0%BF%D0%BE%D1%80%D1%82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BA4D-16A3-426E-8BD4-CBFB1D84DE47}">
  <sheetPr codeName="Лист6"/>
  <dimension ref="A1:I34"/>
  <sheetViews>
    <sheetView tabSelected="1" workbookViewId="0">
      <selection activeCell="L13" sqref="L13"/>
    </sheetView>
  </sheetViews>
  <sheetFormatPr defaultRowHeight="15" x14ac:dyDescent="0.25"/>
  <cols>
    <col min="1" max="1" width="26.85546875" customWidth="1"/>
    <col min="2" max="2" width="15.5703125" customWidth="1"/>
    <col min="3" max="3" width="17.5703125" customWidth="1"/>
    <col min="4" max="4" width="15.5703125" bestFit="1" customWidth="1"/>
    <col min="5" max="8" width="14.5703125" bestFit="1" customWidth="1"/>
    <col min="9" max="9" width="13.140625" bestFit="1" customWidth="1"/>
  </cols>
  <sheetData>
    <row r="1" spans="1:9" x14ac:dyDescent="0.25">
      <c r="B1" t="s">
        <v>20</v>
      </c>
      <c r="C1" t="s">
        <v>21</v>
      </c>
      <c r="E1" t="s">
        <v>55</v>
      </c>
      <c r="F1">
        <v>10</v>
      </c>
    </row>
    <row r="2" spans="1:9" x14ac:dyDescent="0.25">
      <c r="A2" t="s">
        <v>23</v>
      </c>
      <c r="B2" s="12">
        <f>AVERAGEIF(Таблица1[SEASON],'Model control pH'!B1,Таблица1[evaporation])</f>
        <v>1.6125635426060207E-3</v>
      </c>
      <c r="C2" s="12">
        <f>AVERAGEIF(Таблица1[SEASON],'Model control pH'!C1,Таблица1[evaporation])</f>
        <v>1.35680289557632E-3</v>
      </c>
      <c r="E2" t="s">
        <v>56</v>
      </c>
      <c r="G2" s="32">
        <v>0.05</v>
      </c>
      <c r="H2" s="26" t="s">
        <v>58</v>
      </c>
    </row>
    <row r="3" spans="1:9" x14ac:dyDescent="0.25">
      <c r="A3" t="s">
        <v>24</v>
      </c>
      <c r="B3" s="5">
        <f>AVERAGEIF(Таблица1[SEASON],'Model control pH'!B1,Таблица1[wet_bulb_thermo])</f>
        <v>19.37630753194512</v>
      </c>
      <c r="C3" s="5">
        <f>AVERAGEIF(Таблица1[SEASON],'Model control pH'!C1,Таблица1[wet_bulb_thermo])</f>
        <v>12.143273580383877</v>
      </c>
      <c r="E3" t="s">
        <v>57</v>
      </c>
      <c r="G3" s="32">
        <v>0.1</v>
      </c>
      <c r="H3" s="26" t="s">
        <v>58</v>
      </c>
    </row>
    <row r="4" spans="1:9" x14ac:dyDescent="0.25">
      <c r="A4" t="s">
        <v>25</v>
      </c>
      <c r="B4" s="5">
        <f>AVERAGEIF(Таблица1[SEASON],'Model control pH'!B1,Таблица1[Thot])</f>
        <v>39.376307531945109</v>
      </c>
      <c r="C4" s="5">
        <f>AVERAGEIF(Таблица1[SEASON],'Model control pH'!C1,Таблица1[Thot])</f>
        <v>32.466415027269271</v>
      </c>
      <c r="E4" t="s">
        <v>62</v>
      </c>
      <c r="G4" s="32">
        <v>8000</v>
      </c>
      <c r="H4" t="s">
        <v>63</v>
      </c>
    </row>
    <row r="5" spans="1:9" x14ac:dyDescent="0.25">
      <c r="A5" s="15" t="s">
        <v>64</v>
      </c>
      <c r="B5" s="15"/>
      <c r="C5" s="15"/>
      <c r="D5" s="15"/>
      <c r="E5" s="15"/>
      <c r="F5" s="15"/>
      <c r="G5" s="15"/>
      <c r="H5" s="15"/>
      <c r="I5" s="15"/>
    </row>
    <row r="6" spans="1:9" x14ac:dyDescent="0.25">
      <c r="A6" s="20" t="s">
        <v>26</v>
      </c>
      <c r="B6" s="20" t="s">
        <v>27</v>
      </c>
      <c r="C6" s="20" t="s">
        <v>28</v>
      </c>
      <c r="D6" s="20" t="s">
        <v>29</v>
      </c>
      <c r="E6" s="20"/>
      <c r="F6" s="20"/>
      <c r="G6" s="20"/>
      <c r="H6" s="20"/>
      <c r="I6" s="20"/>
    </row>
    <row r="7" spans="1:9" x14ac:dyDescent="0.25">
      <c r="A7" s="20"/>
      <c r="B7" s="20"/>
      <c r="C7" s="20"/>
      <c r="D7" s="21">
        <v>1.2</v>
      </c>
      <c r="E7" s="21">
        <v>1.5</v>
      </c>
      <c r="F7" s="21">
        <v>1.8</v>
      </c>
      <c r="G7" s="21">
        <v>2</v>
      </c>
      <c r="H7" s="21">
        <v>2.5</v>
      </c>
      <c r="I7" s="21">
        <v>3</v>
      </c>
    </row>
    <row r="8" spans="1:9" x14ac:dyDescent="0.25">
      <c r="A8" s="22" t="s">
        <v>30</v>
      </c>
      <c r="B8" s="14" t="s">
        <v>47</v>
      </c>
      <c r="C8" s="14">
        <v>7.8</v>
      </c>
      <c r="D8" s="17">
        <f>4.63+1.72*LOG10(D10*50)</f>
        <v>8.4837447070460712</v>
      </c>
      <c r="E8" s="17">
        <f t="shared" ref="E8:I8" si="0">4.63+1.72*LOG10(E10*50)</f>
        <v>8.6504299294199285</v>
      </c>
      <c r="F8" s="17">
        <f t="shared" si="0"/>
        <v>8.7866216726218429</v>
      </c>
      <c r="G8" s="17">
        <f t="shared" si="0"/>
        <v>8.865324556386204</v>
      </c>
      <c r="H8" s="17">
        <f t="shared" si="0"/>
        <v>9.0320097787600613</v>
      </c>
      <c r="I8" s="17">
        <f t="shared" si="0"/>
        <v>9.1682015219619757</v>
      </c>
    </row>
    <row r="9" spans="1:9" x14ac:dyDescent="0.25">
      <c r="A9" s="22" t="s">
        <v>31</v>
      </c>
      <c r="B9" s="14" t="s">
        <v>48</v>
      </c>
      <c r="C9" s="14">
        <v>1583</v>
      </c>
      <c r="D9" s="18">
        <f>$C9*D$7</f>
        <v>1899.6</v>
      </c>
      <c r="E9" s="18">
        <f t="shared" ref="E9:I14" si="1">$C9*E$7</f>
        <v>2374.5</v>
      </c>
      <c r="F9" s="18">
        <f t="shared" si="1"/>
        <v>2849.4</v>
      </c>
      <c r="G9" s="18">
        <f t="shared" si="1"/>
        <v>3166</v>
      </c>
      <c r="H9" s="18">
        <f t="shared" si="1"/>
        <v>3957.5</v>
      </c>
      <c r="I9" s="18">
        <f t="shared" si="1"/>
        <v>4749</v>
      </c>
    </row>
    <row r="10" spans="1:9" x14ac:dyDescent="0.25">
      <c r="A10" s="22" t="s">
        <v>32</v>
      </c>
      <c r="B10" s="14" t="s">
        <v>49</v>
      </c>
      <c r="C10" s="14">
        <v>2.9</v>
      </c>
      <c r="D10" s="17">
        <f t="shared" ref="D10:I14" si="2">$C10*D$7</f>
        <v>3.48</v>
      </c>
      <c r="E10" s="17">
        <f t="shared" si="1"/>
        <v>4.3499999999999996</v>
      </c>
      <c r="F10" s="17">
        <f t="shared" si="1"/>
        <v>5.22</v>
      </c>
      <c r="G10" s="17">
        <f t="shared" si="1"/>
        <v>5.8</v>
      </c>
      <c r="H10" s="17">
        <f t="shared" si="1"/>
        <v>7.25</v>
      </c>
      <c r="I10" s="17">
        <f t="shared" si="1"/>
        <v>8.6999999999999993</v>
      </c>
    </row>
    <row r="11" spans="1:9" x14ac:dyDescent="0.25">
      <c r="A11" s="22" t="s">
        <v>33</v>
      </c>
      <c r="B11" s="14" t="s">
        <v>49</v>
      </c>
      <c r="C11" s="14">
        <v>10.5</v>
      </c>
      <c r="D11" s="17">
        <f t="shared" si="2"/>
        <v>12.6</v>
      </c>
      <c r="E11" s="17">
        <f t="shared" si="1"/>
        <v>15.75</v>
      </c>
      <c r="F11" s="17">
        <f t="shared" si="1"/>
        <v>18.900000000000002</v>
      </c>
      <c r="G11" s="17">
        <f t="shared" si="1"/>
        <v>21</v>
      </c>
      <c r="H11" s="17">
        <f t="shared" si="1"/>
        <v>26.25</v>
      </c>
      <c r="I11" s="17">
        <f t="shared" si="1"/>
        <v>31.5</v>
      </c>
    </row>
    <row r="12" spans="1:9" x14ac:dyDescent="0.25">
      <c r="A12" s="22" t="s">
        <v>34</v>
      </c>
      <c r="B12" s="14" t="s">
        <v>49</v>
      </c>
      <c r="C12" s="14">
        <v>5.5</v>
      </c>
      <c r="D12" s="17">
        <f t="shared" si="2"/>
        <v>6.6</v>
      </c>
      <c r="E12" s="17">
        <f t="shared" si="1"/>
        <v>8.25</v>
      </c>
      <c r="F12" s="17">
        <f t="shared" si="1"/>
        <v>9.9</v>
      </c>
      <c r="G12" s="17">
        <f t="shared" si="1"/>
        <v>11</v>
      </c>
      <c r="H12" s="17">
        <f t="shared" si="1"/>
        <v>13.75</v>
      </c>
      <c r="I12" s="17">
        <f t="shared" si="1"/>
        <v>16.5</v>
      </c>
    </row>
    <row r="13" spans="1:9" x14ac:dyDescent="0.25">
      <c r="A13" s="22" t="s">
        <v>35</v>
      </c>
      <c r="B13" s="14" t="s">
        <v>48</v>
      </c>
      <c r="C13" s="14">
        <v>378</v>
      </c>
      <c r="D13" s="17">
        <f t="shared" si="2"/>
        <v>453.59999999999997</v>
      </c>
      <c r="E13" s="17">
        <f t="shared" si="1"/>
        <v>567</v>
      </c>
      <c r="F13" s="17">
        <f t="shared" si="1"/>
        <v>680.4</v>
      </c>
      <c r="G13" s="17">
        <f t="shared" si="1"/>
        <v>756</v>
      </c>
      <c r="H13" s="17">
        <f t="shared" si="1"/>
        <v>945</v>
      </c>
      <c r="I13" s="17">
        <f t="shared" si="1"/>
        <v>1134</v>
      </c>
    </row>
    <row r="14" spans="1:9" x14ac:dyDescent="0.25">
      <c r="A14" s="22" t="s">
        <v>36</v>
      </c>
      <c r="B14" s="14" t="s">
        <v>48</v>
      </c>
      <c r="C14" s="14">
        <v>430</v>
      </c>
      <c r="D14" s="17">
        <f t="shared" si="2"/>
        <v>516</v>
      </c>
      <c r="E14" s="17">
        <f t="shared" si="1"/>
        <v>645</v>
      </c>
      <c r="F14" s="17">
        <f t="shared" si="1"/>
        <v>774</v>
      </c>
      <c r="G14" s="17">
        <f t="shared" si="1"/>
        <v>860</v>
      </c>
      <c r="H14" s="17">
        <f t="shared" si="1"/>
        <v>1075</v>
      </c>
      <c r="I14" s="17">
        <f t="shared" si="1"/>
        <v>1290</v>
      </c>
    </row>
    <row r="15" spans="1:9" x14ac:dyDescent="0.25">
      <c r="A15" s="22" t="s">
        <v>37</v>
      </c>
      <c r="B15" s="14" t="s">
        <v>47</v>
      </c>
      <c r="C15" s="14"/>
      <c r="D15" s="17" cm="1">
        <f t="array" ref="D15">phs(D9,$B$4,D11,D10)</f>
        <v>6.7050644778347053</v>
      </c>
      <c r="E15" s="17" cm="1">
        <f t="array" ref="E15">phs(E9,$B$4,E11,E10)</f>
        <v>6.5209354531193977</v>
      </c>
      <c r="F15" s="17" cm="1">
        <f t="array" ref="F15">phs(F9,$B$4,F11,F10)</f>
        <v>6.3704910856289114</v>
      </c>
      <c r="G15" s="17" cm="1">
        <f t="array" ref="G15">phs(G9,$B$4,G11,G10)</f>
        <v>6.2835518535636279</v>
      </c>
      <c r="H15" s="17" cm="1">
        <f t="array" ref="H15">phs(H9,$B$4,H11,H10)</f>
        <v>6.0994228288483221</v>
      </c>
      <c r="I15" s="17" cm="1">
        <f t="array" ref="I15">phs(I9,$B$4,I11,I10)</f>
        <v>5.948978461357834</v>
      </c>
    </row>
    <row r="16" spans="1:9" x14ac:dyDescent="0.25">
      <c r="A16" s="22" t="s">
        <v>38</v>
      </c>
      <c r="B16" s="14" t="s">
        <v>47</v>
      </c>
      <c r="C16" s="14"/>
      <c r="D16" s="17">
        <f>D8-D15</f>
        <v>1.7786802292113659</v>
      </c>
      <c r="E16" s="17">
        <f t="shared" ref="E16:I16" si="3">E8-E15</f>
        <v>2.1294944763005308</v>
      </c>
      <c r="F16" s="17">
        <f t="shared" si="3"/>
        <v>2.4161305869929315</v>
      </c>
      <c r="G16" s="17">
        <f t="shared" si="3"/>
        <v>2.5817727028225761</v>
      </c>
      <c r="H16" s="17">
        <f t="shared" si="3"/>
        <v>2.9325869499117392</v>
      </c>
      <c r="I16" s="17">
        <f t="shared" si="3"/>
        <v>3.2192230606041417</v>
      </c>
    </row>
    <row r="17" spans="1:9" x14ac:dyDescent="0.25">
      <c r="A17" s="22" t="s">
        <v>39</v>
      </c>
      <c r="B17" s="14" t="s">
        <v>47</v>
      </c>
      <c r="C17" s="14"/>
      <c r="D17" s="17">
        <f>2*D15-D8</f>
        <v>4.9263842486233393</v>
      </c>
      <c r="E17" s="17">
        <f t="shared" ref="E17:I17" si="4">2*E15-E8</f>
        <v>4.3914409768188669</v>
      </c>
      <c r="F17" s="17">
        <f t="shared" si="4"/>
        <v>3.9543604986359799</v>
      </c>
      <c r="G17" s="17">
        <f t="shared" si="4"/>
        <v>3.7017791507410518</v>
      </c>
      <c r="H17" s="17">
        <f t="shared" si="4"/>
        <v>3.1668358789365829</v>
      </c>
      <c r="I17" s="17">
        <f t="shared" si="4"/>
        <v>2.7297554007536924</v>
      </c>
    </row>
    <row r="18" spans="1:9" x14ac:dyDescent="0.25">
      <c r="A18" s="22" t="s">
        <v>40</v>
      </c>
      <c r="B18" s="14" t="s">
        <v>47</v>
      </c>
      <c r="C18" s="14"/>
      <c r="D18" s="17">
        <f>D12*20*D13/50000</f>
        <v>1.1975039999999999</v>
      </c>
      <c r="E18" s="17">
        <f t="shared" ref="E18:I18" si="5">E12*20*E13/50000</f>
        <v>1.8711</v>
      </c>
      <c r="F18" s="17">
        <f t="shared" si="5"/>
        <v>2.6943839999999994</v>
      </c>
      <c r="G18" s="17">
        <f t="shared" si="5"/>
        <v>3.3264</v>
      </c>
      <c r="H18" s="17">
        <f t="shared" si="5"/>
        <v>5.1974999999999998</v>
      </c>
      <c r="I18" s="17">
        <f t="shared" si="5"/>
        <v>7.4843999999999999</v>
      </c>
    </row>
    <row r="19" spans="1:9" x14ac:dyDescent="0.25">
      <c r="A19" s="22" t="s">
        <v>41</v>
      </c>
      <c r="B19" s="14" t="s">
        <v>47</v>
      </c>
      <c r="C19" s="14"/>
      <c r="D19" s="14"/>
      <c r="E19" s="14"/>
      <c r="F19" s="14"/>
      <c r="G19" s="14"/>
      <c r="H19" s="14"/>
      <c r="I19" s="14"/>
    </row>
    <row r="20" spans="1:9" x14ac:dyDescent="0.25">
      <c r="A20" s="16" t="s">
        <v>42</v>
      </c>
      <c r="B20" s="16"/>
      <c r="C20" s="16"/>
      <c r="D20" s="16"/>
      <c r="E20" s="16"/>
      <c r="F20" s="16"/>
      <c r="G20" s="16"/>
      <c r="H20" s="16"/>
      <c r="I20" s="16"/>
    </row>
    <row r="21" spans="1:9" x14ac:dyDescent="0.25">
      <c r="A21" s="22" t="s">
        <v>43</v>
      </c>
      <c r="B21" s="14" t="s">
        <v>51</v>
      </c>
      <c r="C21" s="23">
        <v>40000</v>
      </c>
      <c r="D21" s="24">
        <f>C21</f>
        <v>40000</v>
      </c>
      <c r="E21" s="24">
        <f t="shared" ref="E21:I22" si="6">D21</f>
        <v>40000</v>
      </c>
      <c r="F21" s="24">
        <f t="shared" si="6"/>
        <v>40000</v>
      </c>
      <c r="G21" s="24">
        <f t="shared" si="6"/>
        <v>40000</v>
      </c>
      <c r="H21" s="24">
        <f t="shared" si="6"/>
        <v>40000</v>
      </c>
      <c r="I21" s="24">
        <f t="shared" si="6"/>
        <v>40000</v>
      </c>
    </row>
    <row r="22" spans="1:9" x14ac:dyDescent="0.25">
      <c r="A22" s="22" t="s">
        <v>53</v>
      </c>
      <c r="B22" s="14" t="s">
        <v>50</v>
      </c>
      <c r="C22" s="23">
        <v>40000</v>
      </c>
      <c r="D22" s="24">
        <f>C22</f>
        <v>40000</v>
      </c>
      <c r="E22" s="24">
        <f t="shared" si="6"/>
        <v>40000</v>
      </c>
      <c r="F22" s="24">
        <f t="shared" si="6"/>
        <v>40000</v>
      </c>
      <c r="G22" s="24">
        <f t="shared" si="6"/>
        <v>40000</v>
      </c>
      <c r="H22" s="24">
        <f t="shared" si="6"/>
        <v>40000</v>
      </c>
      <c r="I22" s="24">
        <f t="shared" si="6"/>
        <v>40000</v>
      </c>
    </row>
    <row r="23" spans="1:9" x14ac:dyDescent="0.25">
      <c r="A23" s="22" t="s">
        <v>22</v>
      </c>
      <c r="B23" s="14" t="s">
        <v>50</v>
      </c>
      <c r="C23" s="17">
        <f>C22*$F$1*$B$2</f>
        <v>645.02541704240832</v>
      </c>
      <c r="D23" s="17">
        <f t="shared" ref="D23:I23" si="7">D22*$F$1*$B$2</f>
        <v>645.02541704240832</v>
      </c>
      <c r="E23" s="17">
        <f t="shared" si="7"/>
        <v>645.02541704240832</v>
      </c>
      <c r="F23" s="17">
        <f t="shared" si="7"/>
        <v>645.02541704240832</v>
      </c>
      <c r="G23" s="17">
        <f t="shared" si="7"/>
        <v>645.02541704240832</v>
      </c>
      <c r="H23" s="17">
        <f t="shared" si="7"/>
        <v>645.02541704240832</v>
      </c>
      <c r="I23" s="17">
        <f t="shared" si="7"/>
        <v>645.02541704240832</v>
      </c>
    </row>
    <row r="24" spans="1:9" x14ac:dyDescent="0.25">
      <c r="A24" s="22" t="s">
        <v>44</v>
      </c>
      <c r="B24" s="14" t="s">
        <v>50</v>
      </c>
      <c r="C24" s="14"/>
      <c r="D24" s="25">
        <f>D23*D7/(D7-1)</f>
        <v>3870.1525022544506</v>
      </c>
      <c r="E24" s="25">
        <f t="shared" ref="E24:I24" si="8">E23*E7/(E7-1)</f>
        <v>1935.0762511272251</v>
      </c>
      <c r="F24" s="25">
        <f t="shared" si="8"/>
        <v>1451.3071883454188</v>
      </c>
      <c r="G24" s="25">
        <f t="shared" si="8"/>
        <v>1290.0508340848166</v>
      </c>
      <c r="H24" s="25">
        <f t="shared" si="8"/>
        <v>1075.0423617373472</v>
      </c>
      <c r="I24" s="25">
        <f t="shared" si="8"/>
        <v>967.53812556361254</v>
      </c>
    </row>
    <row r="25" spans="1:9" x14ac:dyDescent="0.25">
      <c r="A25" s="22" t="s">
        <v>45</v>
      </c>
      <c r="B25" s="14" t="s">
        <v>50</v>
      </c>
      <c r="C25" s="14"/>
      <c r="D25" s="25">
        <f>D24-D23</f>
        <v>3225.1270852120424</v>
      </c>
      <c r="E25" s="25">
        <f t="shared" ref="E25:I25" si="9">E24-E23</f>
        <v>1290.0508340848169</v>
      </c>
      <c r="F25" s="25">
        <f t="shared" si="9"/>
        <v>806.28177130301049</v>
      </c>
      <c r="G25" s="25">
        <f t="shared" si="9"/>
        <v>645.02541704240832</v>
      </c>
      <c r="H25" s="25">
        <f t="shared" si="9"/>
        <v>430.01694469493884</v>
      </c>
      <c r="I25" s="25">
        <f t="shared" si="9"/>
        <v>322.51270852120422</v>
      </c>
    </row>
    <row r="26" spans="1:9" x14ac:dyDescent="0.25">
      <c r="A26" s="22" t="s">
        <v>46</v>
      </c>
      <c r="B26" s="14" t="s">
        <v>52</v>
      </c>
      <c r="C26" s="14"/>
      <c r="D26" s="25">
        <f>D21/D25*0.7</f>
        <v>8.6818284241841219</v>
      </c>
      <c r="E26" s="25">
        <f t="shared" ref="E26:I26" si="10">E21/E25*0.7</f>
        <v>21.70457106046031</v>
      </c>
      <c r="F26" s="25">
        <f t="shared" si="10"/>
        <v>34.727313696736495</v>
      </c>
      <c r="G26" s="25">
        <f t="shared" si="10"/>
        <v>43.40914212092062</v>
      </c>
      <c r="H26" s="25">
        <f t="shared" si="10"/>
        <v>65.113713181380945</v>
      </c>
      <c r="I26" s="25">
        <f t="shared" si="10"/>
        <v>86.818284241841241</v>
      </c>
    </row>
    <row r="27" spans="1:9" x14ac:dyDescent="0.25">
      <c r="A27" s="28" t="s">
        <v>59</v>
      </c>
      <c r="B27" s="27" t="s">
        <v>60</v>
      </c>
      <c r="C27" s="14"/>
      <c r="D27" s="19">
        <f>D24*$G$2+ D25*$G$3</f>
        <v>516.02033363392684</v>
      </c>
      <c r="E27" s="19">
        <f t="shared" ref="E27:I27" si="11">E24*$G$2+ E25*$G$3</f>
        <v>225.75889596484294</v>
      </c>
      <c r="F27" s="19">
        <f t="shared" si="11"/>
        <v>153.19353654757199</v>
      </c>
      <c r="G27" s="19">
        <f t="shared" si="11"/>
        <v>129.00508340848168</v>
      </c>
      <c r="H27" s="19">
        <f t="shared" si="11"/>
        <v>96.753812556361254</v>
      </c>
      <c r="I27" s="19">
        <f t="shared" si="11"/>
        <v>80.628177130301054</v>
      </c>
    </row>
    <row r="28" spans="1:9" x14ac:dyDescent="0.25">
      <c r="A28" s="29"/>
      <c r="B28" s="27" t="s">
        <v>61</v>
      </c>
      <c r="C28" s="14"/>
      <c r="D28" s="19">
        <f>D27*$G$4</f>
        <v>4128162.6690714145</v>
      </c>
      <c r="E28" s="19">
        <f t="shared" ref="E28:I28" si="12">E27*$G$4</f>
        <v>1806071.1677187434</v>
      </c>
      <c r="F28" s="19">
        <f t="shared" si="12"/>
        <v>1225548.292380576</v>
      </c>
      <c r="G28" s="19">
        <f t="shared" si="12"/>
        <v>1032040.6672678534</v>
      </c>
      <c r="H28" s="19">
        <f t="shared" si="12"/>
        <v>774030.50045089005</v>
      </c>
      <c r="I28" s="19">
        <f t="shared" si="12"/>
        <v>645025.41704240849</v>
      </c>
    </row>
    <row r="30" spans="1:9" x14ac:dyDescent="0.25">
      <c r="A30" s="26" t="s">
        <v>65</v>
      </c>
      <c r="B30">
        <v>2.5</v>
      </c>
    </row>
    <row r="31" spans="1:9" x14ac:dyDescent="0.25">
      <c r="C31" s="30" t="s">
        <v>67</v>
      </c>
      <c r="D31" s="30" t="s">
        <v>68</v>
      </c>
      <c r="E31" s="30" t="s">
        <v>69</v>
      </c>
      <c r="F31" s="30" t="s">
        <v>70</v>
      </c>
      <c r="G31" s="30" t="s">
        <v>71</v>
      </c>
      <c r="H31" s="30"/>
    </row>
    <row r="32" spans="1:9" x14ac:dyDescent="0.25">
      <c r="A32" t="s">
        <v>54</v>
      </c>
      <c r="B32" t="s">
        <v>66</v>
      </c>
      <c r="C32">
        <v>15</v>
      </c>
      <c r="D32" s="9">
        <f>C32*H25/1000</f>
        <v>6.450254170424083</v>
      </c>
      <c r="E32" s="9">
        <f>D32*G4</f>
        <v>51602.033363392664</v>
      </c>
      <c r="F32">
        <v>5</v>
      </c>
      <c r="G32" s="9">
        <f>F32*E32</f>
        <v>258010.16681696332</v>
      </c>
      <c r="H32" s="9"/>
    </row>
    <row r="33" spans="1:8" x14ac:dyDescent="0.25">
      <c r="A33" t="s">
        <v>74</v>
      </c>
      <c r="G33" s="9">
        <f>H28</f>
        <v>774030.50045089005</v>
      </c>
      <c r="H33" s="9"/>
    </row>
    <row r="34" spans="1:8" x14ac:dyDescent="0.25">
      <c r="A34" t="s">
        <v>75</v>
      </c>
      <c r="G34" s="9">
        <f>G32+G33</f>
        <v>1032040.6672678534</v>
      </c>
    </row>
  </sheetData>
  <mergeCells count="7">
    <mergeCell ref="A27:A28"/>
    <mergeCell ref="A5:I5"/>
    <mergeCell ref="A6:A7"/>
    <mergeCell ref="B6:B7"/>
    <mergeCell ref="C6:C7"/>
    <mergeCell ref="D6:I6"/>
    <mergeCell ref="A20:I20"/>
  </mergeCells>
  <conditionalFormatting sqref="D16:I16">
    <cfRule type="cellIs" dxfId="9" priority="4" operator="greaterThan">
      <formula>2.1</formula>
    </cfRule>
    <cfRule type="cellIs" dxfId="8" priority="5" operator="greaterThan">
      <formula>2.5</formula>
    </cfRule>
  </conditionalFormatting>
  <conditionalFormatting sqref="D18:I18">
    <cfRule type="cellIs" dxfId="7" priority="2" operator="greaterThan">
      <formula>1</formula>
    </cfRule>
    <cfRule type="cellIs" dxfId="6" priority="3" operator="greaterThan">
      <formula>"1.0"</formula>
    </cfRule>
  </conditionalFormatting>
  <conditionalFormatting sqref="D26:I26">
    <cfRule type="cellIs" dxfId="5" priority="1" operator="greaterThan">
      <formula>72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B32D4-3F21-4EFC-A321-469C1AE42779}">
  <sheetPr codeName="Лист1"/>
  <dimension ref="A1:I42"/>
  <sheetViews>
    <sheetView topLeftCell="A7" workbookViewId="0">
      <selection activeCell="G38" sqref="G38"/>
    </sheetView>
  </sheetViews>
  <sheetFormatPr defaultRowHeight="15" x14ac:dyDescent="0.25"/>
  <cols>
    <col min="1" max="1" width="31.42578125" customWidth="1"/>
    <col min="2" max="2" width="15.5703125" customWidth="1"/>
    <col min="3" max="3" width="17.5703125" customWidth="1"/>
    <col min="4" max="4" width="15.5703125" bestFit="1" customWidth="1"/>
    <col min="5" max="8" width="14.5703125" bestFit="1" customWidth="1"/>
    <col min="9" max="9" width="13.140625" bestFit="1" customWidth="1"/>
  </cols>
  <sheetData>
    <row r="1" spans="1:9" x14ac:dyDescent="0.25">
      <c r="B1" t="s">
        <v>20</v>
      </c>
      <c r="C1" t="s">
        <v>21</v>
      </c>
      <c r="E1" t="s">
        <v>55</v>
      </c>
      <c r="F1">
        <v>10</v>
      </c>
      <c r="H1" t="s">
        <v>72</v>
      </c>
      <c r="I1">
        <v>8</v>
      </c>
    </row>
    <row r="2" spans="1:9" x14ac:dyDescent="0.25">
      <c r="A2" t="s">
        <v>23</v>
      </c>
      <c r="B2" s="12">
        <f>AVERAGEIF(Таблица1[SEASON],'Model control pH'!B1,Таблица1[evaporation])</f>
        <v>1.6125635426060207E-3</v>
      </c>
      <c r="C2" s="12">
        <f>AVERAGEIF(Таблица1[SEASON],'Model control pH'!C1,Таблица1[evaporation])</f>
        <v>1.35680289557632E-3</v>
      </c>
      <c r="E2" t="s">
        <v>56</v>
      </c>
      <c r="G2" s="32">
        <v>0.05</v>
      </c>
      <c r="H2" s="26" t="s">
        <v>58</v>
      </c>
    </row>
    <row r="3" spans="1:9" x14ac:dyDescent="0.25">
      <c r="A3" t="s">
        <v>24</v>
      </c>
      <c r="B3" s="5">
        <f>AVERAGEIF(Таблица1[SEASON],'Model control pH'!B1,Таблица1[wet_bulb_thermo])</f>
        <v>19.37630753194512</v>
      </c>
      <c r="C3" s="5">
        <f>AVERAGEIF(Таблица1[SEASON],'Model control pH'!C1,Таблица1[wet_bulb_thermo])</f>
        <v>12.143273580383877</v>
      </c>
      <c r="E3" t="s">
        <v>57</v>
      </c>
      <c r="G3" s="32">
        <v>0.1</v>
      </c>
      <c r="H3" s="26" t="s">
        <v>58</v>
      </c>
    </row>
    <row r="4" spans="1:9" x14ac:dyDescent="0.25">
      <c r="A4" t="s">
        <v>25</v>
      </c>
      <c r="B4" s="5">
        <f>AVERAGEIF(Таблица1[SEASON],'Model control pH'!B1,Таблица1[Thot])</f>
        <v>39.376307531945109</v>
      </c>
      <c r="C4" s="5">
        <f>AVERAGEIF(Таблица1[SEASON],'Model control pH'!C1,Таблица1[Thot])</f>
        <v>32.466415027269271</v>
      </c>
      <c r="E4" t="s">
        <v>62</v>
      </c>
      <c r="G4" s="32">
        <v>8000</v>
      </c>
      <c r="H4" t="s">
        <v>63</v>
      </c>
    </row>
    <row r="5" spans="1:9" x14ac:dyDescent="0.25">
      <c r="A5" s="15" t="s">
        <v>64</v>
      </c>
      <c r="B5" s="15"/>
      <c r="C5" s="15"/>
      <c r="D5" s="15"/>
      <c r="E5" s="15"/>
      <c r="F5" s="15"/>
      <c r="G5" s="15"/>
      <c r="H5" s="15"/>
      <c r="I5" s="15"/>
    </row>
    <row r="6" spans="1:9" x14ac:dyDescent="0.25">
      <c r="A6" s="20" t="s">
        <v>26</v>
      </c>
      <c r="B6" s="20" t="s">
        <v>27</v>
      </c>
      <c r="C6" s="20" t="s">
        <v>28</v>
      </c>
      <c r="D6" s="20" t="s">
        <v>29</v>
      </c>
      <c r="E6" s="20"/>
      <c r="F6" s="20"/>
      <c r="G6" s="20"/>
      <c r="H6" s="20"/>
      <c r="I6" s="20"/>
    </row>
    <row r="7" spans="1:9" x14ac:dyDescent="0.25">
      <c r="A7" s="20"/>
      <c r="B7" s="20"/>
      <c r="C7" s="20"/>
      <c r="D7" s="21">
        <v>1.2</v>
      </c>
      <c r="E7" s="21">
        <v>1.5</v>
      </c>
      <c r="F7" s="21">
        <v>1.8</v>
      </c>
      <c r="G7" s="21">
        <v>2</v>
      </c>
      <c r="H7" s="21">
        <v>2.5</v>
      </c>
      <c r="I7" s="21">
        <v>3</v>
      </c>
    </row>
    <row r="8" spans="1:9" x14ac:dyDescent="0.25">
      <c r="A8" s="22" t="s">
        <v>30</v>
      </c>
      <c r="B8" s="14" t="s">
        <v>47</v>
      </c>
      <c r="C8" s="14">
        <v>7.8</v>
      </c>
      <c r="D8" s="17">
        <f>I1</f>
        <v>8</v>
      </c>
      <c r="E8" s="17">
        <f>D8</f>
        <v>8</v>
      </c>
      <c r="F8" s="17">
        <f t="shared" ref="F8:I8" si="0">E8</f>
        <v>8</v>
      </c>
      <c r="G8" s="17">
        <f t="shared" si="0"/>
        <v>8</v>
      </c>
      <c r="H8" s="17">
        <f t="shared" si="0"/>
        <v>8</v>
      </c>
      <c r="I8" s="17">
        <f t="shared" si="0"/>
        <v>8</v>
      </c>
    </row>
    <row r="9" spans="1:9" x14ac:dyDescent="0.25">
      <c r="A9" s="22" t="s">
        <v>31</v>
      </c>
      <c r="B9" s="14" t="s">
        <v>48</v>
      </c>
      <c r="C9" s="14">
        <v>1583</v>
      </c>
      <c r="D9" s="18">
        <f>$C9*D$7</f>
        <v>1899.6</v>
      </c>
      <c r="E9" s="18">
        <f t="shared" ref="E9:I15" si="1">$C9*E$7</f>
        <v>2374.5</v>
      </c>
      <c r="F9" s="18">
        <f t="shared" si="1"/>
        <v>2849.4</v>
      </c>
      <c r="G9" s="18">
        <f t="shared" si="1"/>
        <v>3166</v>
      </c>
      <c r="H9" s="18">
        <f t="shared" si="1"/>
        <v>3957.5</v>
      </c>
      <c r="I9" s="18">
        <f t="shared" si="1"/>
        <v>4749</v>
      </c>
    </row>
    <row r="10" spans="1:9" x14ac:dyDescent="0.25">
      <c r="A10" s="22" t="s">
        <v>32</v>
      </c>
      <c r="B10" s="14" t="s">
        <v>49</v>
      </c>
      <c r="C10" s="14">
        <v>2.9</v>
      </c>
      <c r="D10" s="17">
        <f>10^((D8-4.63)/1.72)/50</f>
        <v>1.8210938228474804</v>
      </c>
      <c r="E10" s="17">
        <f t="shared" ref="E10:I10" si="2">10^((E8-4.63)/1.72)/50</f>
        <v>1.8210938228474804</v>
      </c>
      <c r="F10" s="17">
        <f t="shared" si="2"/>
        <v>1.8210938228474804</v>
      </c>
      <c r="G10" s="17">
        <f t="shared" si="2"/>
        <v>1.8210938228474804</v>
      </c>
      <c r="H10" s="17">
        <f t="shared" si="2"/>
        <v>1.8210938228474804</v>
      </c>
      <c r="I10" s="17">
        <f t="shared" si="2"/>
        <v>1.8210938228474804</v>
      </c>
    </row>
    <row r="11" spans="1:9" x14ac:dyDescent="0.25">
      <c r="A11" s="22" t="s">
        <v>73</v>
      </c>
      <c r="B11" s="14" t="s">
        <v>48</v>
      </c>
      <c r="C11" s="14"/>
      <c r="D11" s="17">
        <f>($C10*D$7-D10)*48</f>
        <v>79.627496503320941</v>
      </c>
      <c r="E11" s="17">
        <f t="shared" ref="E11:I11" si="3">($C10*E$7-E10)*48</f>
        <v>121.38749650332093</v>
      </c>
      <c r="F11" s="17">
        <f t="shared" si="3"/>
        <v>163.14749650332095</v>
      </c>
      <c r="G11" s="17">
        <f t="shared" si="3"/>
        <v>190.98749650332093</v>
      </c>
      <c r="H11" s="17">
        <f t="shared" si="3"/>
        <v>260.58749650332095</v>
      </c>
      <c r="I11" s="17">
        <f t="shared" si="3"/>
        <v>330.18749650332092</v>
      </c>
    </row>
    <row r="12" spans="1:9" x14ac:dyDescent="0.25">
      <c r="A12" s="22" t="s">
        <v>33</v>
      </c>
      <c r="B12" s="14" t="s">
        <v>49</v>
      </c>
      <c r="C12" s="14">
        <v>10.5</v>
      </c>
      <c r="D12" s="17">
        <f t="shared" ref="D12:D15" si="4">$C12*D$7</f>
        <v>12.6</v>
      </c>
      <c r="E12" s="17">
        <f t="shared" si="1"/>
        <v>15.75</v>
      </c>
      <c r="F12" s="17">
        <f t="shared" si="1"/>
        <v>18.900000000000002</v>
      </c>
      <c r="G12" s="17">
        <f t="shared" si="1"/>
        <v>21</v>
      </c>
      <c r="H12" s="17">
        <f t="shared" si="1"/>
        <v>26.25</v>
      </c>
      <c r="I12" s="17">
        <f t="shared" si="1"/>
        <v>31.5</v>
      </c>
    </row>
    <row r="13" spans="1:9" x14ac:dyDescent="0.25">
      <c r="A13" s="22" t="s">
        <v>34</v>
      </c>
      <c r="B13" s="14" t="s">
        <v>49</v>
      </c>
      <c r="C13" s="14">
        <v>5.5</v>
      </c>
      <c r="D13" s="17">
        <f t="shared" si="4"/>
        <v>6.6</v>
      </c>
      <c r="E13" s="17">
        <f t="shared" si="1"/>
        <v>8.25</v>
      </c>
      <c r="F13" s="17">
        <f t="shared" si="1"/>
        <v>9.9</v>
      </c>
      <c r="G13" s="17">
        <f t="shared" si="1"/>
        <v>11</v>
      </c>
      <c r="H13" s="17">
        <f t="shared" si="1"/>
        <v>13.75</v>
      </c>
      <c r="I13" s="17">
        <f t="shared" si="1"/>
        <v>16.5</v>
      </c>
    </row>
    <row r="14" spans="1:9" x14ac:dyDescent="0.25">
      <c r="A14" s="22" t="s">
        <v>35</v>
      </c>
      <c r="B14" s="14" t="s">
        <v>48</v>
      </c>
      <c r="C14" s="14">
        <v>378</v>
      </c>
      <c r="D14" s="17">
        <f>$C14*D$7 + D11</f>
        <v>533.22749650332094</v>
      </c>
      <c r="E14" s="17">
        <f t="shared" ref="E14:I14" si="5">$C14*E$7 + E11</f>
        <v>688.3874965033209</v>
      </c>
      <c r="F14" s="17">
        <f t="shared" si="5"/>
        <v>843.54749650332087</v>
      </c>
      <c r="G14" s="17">
        <f t="shared" si="5"/>
        <v>946.98749650332093</v>
      </c>
      <c r="H14" s="17">
        <f t="shared" si="5"/>
        <v>1205.5874965033208</v>
      </c>
      <c r="I14" s="17">
        <f t="shared" si="5"/>
        <v>1464.187496503321</v>
      </c>
    </row>
    <row r="15" spans="1:9" x14ac:dyDescent="0.25">
      <c r="A15" s="22" t="s">
        <v>36</v>
      </c>
      <c r="B15" s="14" t="s">
        <v>48</v>
      </c>
      <c r="C15" s="14">
        <v>430</v>
      </c>
      <c r="D15" s="17">
        <f t="shared" si="4"/>
        <v>516</v>
      </c>
      <c r="E15" s="17">
        <f t="shared" si="1"/>
        <v>645</v>
      </c>
      <c r="F15" s="17">
        <f t="shared" si="1"/>
        <v>774</v>
      </c>
      <c r="G15" s="17">
        <f t="shared" si="1"/>
        <v>860</v>
      </c>
      <c r="H15" s="17">
        <f t="shared" si="1"/>
        <v>1075</v>
      </c>
      <c r="I15" s="17">
        <f t="shared" si="1"/>
        <v>1290</v>
      </c>
    </row>
    <row r="16" spans="1:9" x14ac:dyDescent="0.25">
      <c r="A16" s="22" t="s">
        <v>37</v>
      </c>
      <c r="B16" s="14" t="s">
        <v>47</v>
      </c>
      <c r="C16" s="14"/>
      <c r="D16" s="17" cm="1">
        <f t="array" ref="D16">phs(D9,$B$4,D12,D10)</f>
        <v>6.986311400535909</v>
      </c>
      <c r="E16" s="17" cm="1">
        <f t="array" ref="E16">phs(E9,$B$4,E12,E10)</f>
        <v>6.8990923888286577</v>
      </c>
      <c r="F16" s="17" cm="1">
        <f t="array" ref="F16">phs(F9,$B$4,F12,F10)</f>
        <v>6.8278292673857965</v>
      </c>
      <c r="G16" s="17" cm="1">
        <f t="array" ref="G16">phs(G9,$B$4,G12,G10)</f>
        <v>6.7866475258811878</v>
      </c>
      <c r="H16" s="17" cm="1">
        <f t="array" ref="H16">phs(H9,$B$4,H12,H10)</f>
        <v>6.6994285141739383</v>
      </c>
      <c r="I16" s="17" cm="1">
        <f t="array" ref="I16">phs(I9,$B$4,I12,I10)</f>
        <v>6.6281653927310753</v>
      </c>
    </row>
    <row r="17" spans="1:9" x14ac:dyDescent="0.25">
      <c r="A17" s="22" t="s">
        <v>38</v>
      </c>
      <c r="B17" s="14" t="s">
        <v>47</v>
      </c>
      <c r="C17" s="14"/>
      <c r="D17" s="17">
        <f>D8-D16</f>
        <v>1.013688599464091</v>
      </c>
      <c r="E17" s="17">
        <f t="shared" ref="E17:I17" si="6">E8-E16</f>
        <v>1.1009076111713423</v>
      </c>
      <c r="F17" s="17">
        <f t="shared" si="6"/>
        <v>1.1721707326142035</v>
      </c>
      <c r="G17" s="17">
        <f t="shared" si="6"/>
        <v>1.2133524741188122</v>
      </c>
      <c r="H17" s="17">
        <f t="shared" si="6"/>
        <v>1.3005714858260617</v>
      </c>
      <c r="I17" s="17">
        <f t="shared" si="6"/>
        <v>1.3718346072689247</v>
      </c>
    </row>
    <row r="18" spans="1:9" x14ac:dyDescent="0.25">
      <c r="A18" s="22" t="s">
        <v>39</v>
      </c>
      <c r="B18" s="14" t="s">
        <v>47</v>
      </c>
      <c r="C18" s="14"/>
      <c r="D18" s="17">
        <f>2*D16-D8</f>
        <v>5.9726228010718181</v>
      </c>
      <c r="E18" s="17">
        <f t="shared" ref="E18:I18" si="7">2*E16-E8</f>
        <v>5.7981847776573154</v>
      </c>
      <c r="F18" s="17">
        <f t="shared" si="7"/>
        <v>5.6556585347715931</v>
      </c>
      <c r="G18" s="17">
        <f t="shared" si="7"/>
        <v>5.5732950517623756</v>
      </c>
      <c r="H18" s="17">
        <f t="shared" si="7"/>
        <v>5.3988570283478765</v>
      </c>
      <c r="I18" s="17">
        <f t="shared" si="7"/>
        <v>5.2563307854621506</v>
      </c>
    </row>
    <row r="19" spans="1:9" x14ac:dyDescent="0.25">
      <c r="A19" s="22" t="s">
        <v>40</v>
      </c>
      <c r="B19" s="14" t="s">
        <v>47</v>
      </c>
      <c r="C19" s="14"/>
      <c r="D19" s="17">
        <f>D13*20*D14/50000</f>
        <v>1.4077205907687673</v>
      </c>
      <c r="E19" s="17">
        <f t="shared" ref="E19:I19" si="8">E13*20*E14/50000</f>
        <v>2.2716787384609591</v>
      </c>
      <c r="F19" s="17">
        <f t="shared" si="8"/>
        <v>3.3404480861531507</v>
      </c>
      <c r="G19" s="17">
        <f t="shared" si="8"/>
        <v>4.1667449846146125</v>
      </c>
      <c r="H19" s="17">
        <f t="shared" si="8"/>
        <v>6.6307312307682649</v>
      </c>
      <c r="I19" s="17">
        <f t="shared" si="8"/>
        <v>9.6636374769219184</v>
      </c>
    </row>
    <row r="20" spans="1:9" x14ac:dyDescent="0.25">
      <c r="A20" s="22" t="s">
        <v>41</v>
      </c>
      <c r="B20" s="14" t="s">
        <v>47</v>
      </c>
      <c r="C20" s="14"/>
      <c r="D20" s="14"/>
      <c r="E20" s="14"/>
      <c r="F20" s="14"/>
      <c r="G20" s="14"/>
      <c r="H20" s="14"/>
      <c r="I20" s="14"/>
    </row>
    <row r="21" spans="1:9" x14ac:dyDescent="0.25">
      <c r="A21" s="16" t="s">
        <v>42</v>
      </c>
      <c r="B21" s="16"/>
      <c r="C21" s="16"/>
      <c r="D21" s="16"/>
      <c r="E21" s="16"/>
      <c r="F21" s="16"/>
      <c r="G21" s="16"/>
      <c r="H21" s="16"/>
      <c r="I21" s="16"/>
    </row>
    <row r="22" spans="1:9" x14ac:dyDescent="0.25">
      <c r="A22" s="22" t="s">
        <v>43</v>
      </c>
      <c r="B22" s="14" t="s">
        <v>51</v>
      </c>
      <c r="C22" s="23">
        <v>40000</v>
      </c>
      <c r="D22" s="24">
        <f>C22</f>
        <v>40000</v>
      </c>
      <c r="E22" s="24">
        <f t="shared" ref="E22:I22" si="9">D22</f>
        <v>40000</v>
      </c>
      <c r="F22" s="24">
        <f t="shared" si="9"/>
        <v>40000</v>
      </c>
      <c r="G22" s="24">
        <f t="shared" si="9"/>
        <v>40000</v>
      </c>
      <c r="H22" s="24">
        <f t="shared" si="9"/>
        <v>40000</v>
      </c>
      <c r="I22" s="24">
        <f t="shared" si="9"/>
        <v>40000</v>
      </c>
    </row>
    <row r="23" spans="1:9" x14ac:dyDescent="0.25">
      <c r="A23" s="22" t="s">
        <v>53</v>
      </c>
      <c r="B23" s="14" t="s">
        <v>50</v>
      </c>
      <c r="C23" s="23">
        <v>40000</v>
      </c>
      <c r="D23" s="24">
        <f>C23</f>
        <v>40000</v>
      </c>
      <c r="E23" s="24">
        <f t="shared" ref="E23:I23" si="10">D23</f>
        <v>40000</v>
      </c>
      <c r="F23" s="24">
        <f t="shared" si="10"/>
        <v>40000</v>
      </c>
      <c r="G23" s="24">
        <f t="shared" si="10"/>
        <v>40000</v>
      </c>
      <c r="H23" s="24">
        <f t="shared" si="10"/>
        <v>40000</v>
      </c>
      <c r="I23" s="24">
        <f t="shared" si="10"/>
        <v>40000</v>
      </c>
    </row>
    <row r="24" spans="1:9" x14ac:dyDescent="0.25">
      <c r="A24" s="22" t="s">
        <v>22</v>
      </c>
      <c r="B24" s="14" t="s">
        <v>50</v>
      </c>
      <c r="C24" s="17">
        <f>C23*$F$1*$B$2</f>
        <v>645.02541704240832</v>
      </c>
      <c r="D24" s="17">
        <f t="shared" ref="D24:I24" si="11">D23*$F$1*$B$2</f>
        <v>645.02541704240832</v>
      </c>
      <c r="E24" s="17">
        <f t="shared" si="11"/>
        <v>645.02541704240832</v>
      </c>
      <c r="F24" s="17">
        <f t="shared" si="11"/>
        <v>645.02541704240832</v>
      </c>
      <c r="G24" s="17">
        <f t="shared" si="11"/>
        <v>645.02541704240832</v>
      </c>
      <c r="H24" s="17">
        <f t="shared" si="11"/>
        <v>645.02541704240832</v>
      </c>
      <c r="I24" s="17">
        <f t="shared" si="11"/>
        <v>645.02541704240832</v>
      </c>
    </row>
    <row r="25" spans="1:9" x14ac:dyDescent="0.25">
      <c r="A25" s="22" t="s">
        <v>44</v>
      </c>
      <c r="B25" s="14" t="s">
        <v>50</v>
      </c>
      <c r="C25" s="14"/>
      <c r="D25" s="25">
        <f>D24*D7/(D7-1)</f>
        <v>3870.1525022544506</v>
      </c>
      <c r="E25" s="25">
        <f t="shared" ref="E25:I25" si="12">E24*E7/(E7-1)</f>
        <v>1935.0762511272251</v>
      </c>
      <c r="F25" s="25">
        <f t="shared" si="12"/>
        <v>1451.3071883454188</v>
      </c>
      <c r="G25" s="25">
        <f>G24*G7/(G7-1)</f>
        <v>1290.0508340848166</v>
      </c>
      <c r="H25" s="25">
        <f t="shared" si="12"/>
        <v>1075.0423617373472</v>
      </c>
      <c r="I25" s="25">
        <f t="shared" si="12"/>
        <v>967.53812556361254</v>
      </c>
    </row>
    <row r="26" spans="1:9" x14ac:dyDescent="0.25">
      <c r="A26" s="22" t="s">
        <v>45</v>
      </c>
      <c r="B26" s="14" t="s">
        <v>50</v>
      </c>
      <c r="C26" s="14"/>
      <c r="D26" s="25">
        <f>D25-D24</f>
        <v>3225.1270852120424</v>
      </c>
      <c r="E26" s="25">
        <f t="shared" ref="E26:I26" si="13">E25-E24</f>
        <v>1290.0508340848169</v>
      </c>
      <c r="F26" s="25">
        <f t="shared" si="13"/>
        <v>806.28177130301049</v>
      </c>
      <c r="G26" s="25">
        <f t="shared" si="13"/>
        <v>645.02541704240832</v>
      </c>
      <c r="H26" s="25">
        <f t="shared" si="13"/>
        <v>430.01694469493884</v>
      </c>
      <c r="I26" s="25">
        <f t="shared" si="13"/>
        <v>322.51270852120422</v>
      </c>
    </row>
    <row r="27" spans="1:9" x14ac:dyDescent="0.25">
      <c r="A27" s="22" t="s">
        <v>46</v>
      </c>
      <c r="B27" s="14" t="s">
        <v>52</v>
      </c>
      <c r="C27" s="14"/>
      <c r="D27" s="25">
        <f>D22/D26*0.7</f>
        <v>8.6818284241841219</v>
      </c>
      <c r="E27" s="25">
        <f t="shared" ref="E27:I27" si="14">E22/E26*0.7</f>
        <v>21.70457106046031</v>
      </c>
      <c r="F27" s="25">
        <f t="shared" si="14"/>
        <v>34.727313696736495</v>
      </c>
      <c r="G27" s="25">
        <f t="shared" si="14"/>
        <v>43.40914212092062</v>
      </c>
      <c r="H27" s="25">
        <f t="shared" si="14"/>
        <v>65.113713181380945</v>
      </c>
      <c r="I27" s="25">
        <f t="shared" si="14"/>
        <v>86.818284241841241</v>
      </c>
    </row>
    <row r="28" spans="1:9" x14ac:dyDescent="0.25">
      <c r="A28" s="28" t="s">
        <v>59</v>
      </c>
      <c r="B28" s="27" t="s">
        <v>60</v>
      </c>
      <c r="C28" s="14"/>
      <c r="D28" s="19">
        <f>D25*$G$2+ D26*$G$3</f>
        <v>516.02033363392684</v>
      </c>
      <c r="E28" s="19">
        <f t="shared" ref="E28:I28" si="15">E25*$G$2+ E26*$G$3</f>
        <v>225.75889596484294</v>
      </c>
      <c r="F28" s="19">
        <f t="shared" si="15"/>
        <v>153.19353654757199</v>
      </c>
      <c r="G28" s="19">
        <f t="shared" si="15"/>
        <v>129.00508340848168</v>
      </c>
      <c r="H28" s="19">
        <f t="shared" si="15"/>
        <v>96.753812556361254</v>
      </c>
      <c r="I28" s="19">
        <f t="shared" si="15"/>
        <v>80.628177130301054</v>
      </c>
    </row>
    <row r="29" spans="1:9" x14ac:dyDescent="0.25">
      <c r="A29" s="29"/>
      <c r="B29" s="27" t="s">
        <v>61</v>
      </c>
      <c r="C29" s="14"/>
      <c r="D29" s="19">
        <f>D28*$G$4</f>
        <v>4128162.6690714145</v>
      </c>
      <c r="E29" s="19">
        <f t="shared" ref="E29:I29" si="16">E28*$G$4</f>
        <v>1806071.1677187434</v>
      </c>
      <c r="F29" s="19">
        <f t="shared" si="16"/>
        <v>1225548.292380576</v>
      </c>
      <c r="G29" s="19">
        <f t="shared" si="16"/>
        <v>1032040.6672678534</v>
      </c>
      <c r="H29" s="19">
        <f t="shared" si="16"/>
        <v>774030.50045089005</v>
      </c>
      <c r="I29" s="19">
        <f t="shared" si="16"/>
        <v>645025.41704240849</v>
      </c>
    </row>
    <row r="31" spans="1:9" x14ac:dyDescent="0.25">
      <c r="A31" s="26" t="s">
        <v>65</v>
      </c>
      <c r="B31">
        <v>2</v>
      </c>
    </row>
    <row r="32" spans="1:9" x14ac:dyDescent="0.25">
      <c r="C32" s="30" t="s">
        <v>67</v>
      </c>
      <c r="D32" s="30" t="s">
        <v>68</v>
      </c>
      <c r="E32" s="30" t="s">
        <v>69</v>
      </c>
      <c r="F32" s="30" t="s">
        <v>70</v>
      </c>
      <c r="G32" s="30" t="s">
        <v>71</v>
      </c>
      <c r="H32" s="30"/>
    </row>
    <row r="33" spans="1:8" x14ac:dyDescent="0.25">
      <c r="A33" t="s">
        <v>73</v>
      </c>
      <c r="C33" s="31">
        <f>G11</f>
        <v>190.98749650332093</v>
      </c>
      <c r="D33" s="9">
        <f>C33*H26/1000</f>
        <v>82.127859721293376</v>
      </c>
      <c r="E33" s="9">
        <f>D33*G4</f>
        <v>657022.87777034706</v>
      </c>
      <c r="F33">
        <v>0.1</v>
      </c>
      <c r="G33" s="9">
        <f>F33*E33</f>
        <v>65702.287777034711</v>
      </c>
      <c r="H33" s="9"/>
    </row>
    <row r="34" spans="1:8" x14ac:dyDescent="0.25">
      <c r="A34" t="s">
        <v>76</v>
      </c>
      <c r="C34" s="31">
        <v>5</v>
      </c>
      <c r="D34" s="9">
        <f>C34*G26/1000</f>
        <v>3.2251270852120415</v>
      </c>
      <c r="E34" s="9">
        <f>D34*G4</f>
        <v>25801.016681696332</v>
      </c>
      <c r="F34">
        <v>5.5</v>
      </c>
      <c r="G34" s="9">
        <f>F34*E34</f>
        <v>141905.59174932982</v>
      </c>
      <c r="H34" s="9"/>
    </row>
    <row r="35" spans="1:8" x14ac:dyDescent="0.25">
      <c r="A35" t="s">
        <v>74</v>
      </c>
      <c r="G35" s="9">
        <f>G29</f>
        <v>1032040.6672678534</v>
      </c>
      <c r="H35" s="9"/>
    </row>
    <row r="36" spans="1:8" x14ac:dyDescent="0.25">
      <c r="A36" t="s">
        <v>75</v>
      </c>
      <c r="G36" s="9">
        <f>G35+G34+G33</f>
        <v>1239648.546794218</v>
      </c>
    </row>
    <row r="37" spans="1:8" x14ac:dyDescent="0.25">
      <c r="A37" t="s">
        <v>77</v>
      </c>
      <c r="G37" s="9">
        <f>G33+G35</f>
        <v>1097742.9550448882</v>
      </c>
      <c r="H37" s="9"/>
    </row>
    <row r="38" spans="1:8" x14ac:dyDescent="0.25">
      <c r="H38" s="9"/>
    </row>
    <row r="40" spans="1:8" x14ac:dyDescent="0.25">
      <c r="H40" s="9"/>
    </row>
    <row r="41" spans="1:8" x14ac:dyDescent="0.25">
      <c r="H41" s="9"/>
    </row>
    <row r="42" spans="1:8" x14ac:dyDescent="0.25">
      <c r="H42" s="9"/>
    </row>
  </sheetData>
  <mergeCells count="7">
    <mergeCell ref="A28:A29"/>
    <mergeCell ref="A6:A7"/>
    <mergeCell ref="B6:B7"/>
    <mergeCell ref="C6:C7"/>
    <mergeCell ref="D6:I6"/>
    <mergeCell ref="A5:I5"/>
    <mergeCell ref="A21:I21"/>
  </mergeCells>
  <conditionalFormatting sqref="D17:I17">
    <cfRule type="cellIs" dxfId="4" priority="4" operator="greaterThan">
      <formula>2.1</formula>
    </cfRule>
    <cfRule type="cellIs" dxfId="3" priority="5" operator="greaterThan">
      <formula>2.5</formula>
    </cfRule>
  </conditionalFormatting>
  <conditionalFormatting sqref="D19:I19">
    <cfRule type="cellIs" dxfId="2" priority="2" operator="greaterThan">
      <formula>1</formula>
    </cfRule>
    <cfRule type="cellIs" dxfId="1" priority="3" operator="greaterThan">
      <formula>"1.0"</formula>
    </cfRule>
  </conditionalFormatting>
  <conditionalFormatting sqref="D27:I27">
    <cfRule type="cellIs" dxfId="0" priority="1" operator="greaterThan">
      <formula>72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598C2-F7FB-45A8-9D78-FD681380A116}">
  <sheetPr codeName="Лист2"/>
  <dimension ref="A1:M364"/>
  <sheetViews>
    <sheetView workbookViewId="0">
      <selection activeCell="F2" sqref="F2"/>
    </sheetView>
  </sheetViews>
  <sheetFormatPr defaultRowHeight="15" x14ac:dyDescent="0.25"/>
  <cols>
    <col min="1" max="1" width="18.28515625" style="1" bestFit="1" customWidth="1"/>
    <col min="2" max="2" width="18.7109375" style="5" customWidth="1"/>
    <col min="3" max="3" width="18" style="5" customWidth="1"/>
    <col min="4" max="4" width="20" style="5" customWidth="1"/>
    <col min="5" max="5" width="21" customWidth="1"/>
    <col min="6" max="6" width="23.42578125" style="7" customWidth="1"/>
    <col min="7" max="7" width="26.5703125" customWidth="1"/>
    <col min="8" max="8" width="23" style="5" customWidth="1"/>
    <col min="9" max="9" width="23.42578125" style="5" customWidth="1"/>
    <col min="10" max="10" width="19.5703125" customWidth="1"/>
    <col min="11" max="11" width="24" style="12" customWidth="1"/>
    <col min="13" max="13" width="14.140625" customWidth="1"/>
  </cols>
  <sheetData>
    <row r="1" spans="1:13" x14ac:dyDescent="0.25">
      <c r="A1" s="1" t="s">
        <v>4</v>
      </c>
      <c r="B1" s="3" t="s">
        <v>5</v>
      </c>
      <c r="E1" t="s">
        <v>10</v>
      </c>
      <c r="F1" s="5">
        <v>10</v>
      </c>
      <c r="G1" t="s">
        <v>11</v>
      </c>
      <c r="H1" s="5" t="s">
        <v>14</v>
      </c>
      <c r="I1" s="5">
        <v>10</v>
      </c>
    </row>
    <row r="2" spans="1:13" x14ac:dyDescent="0.25">
      <c r="A2" s="1" t="s">
        <v>18</v>
      </c>
      <c r="B2" s="3" t="s">
        <v>19</v>
      </c>
    </row>
    <row r="3" spans="1:13" x14ac:dyDescent="0.25">
      <c r="A3" s="1" t="s">
        <v>0</v>
      </c>
      <c r="B3" s="4" t="s">
        <v>1</v>
      </c>
      <c r="C3" s="4" t="s">
        <v>2</v>
      </c>
      <c r="D3" s="4" t="s">
        <v>3</v>
      </c>
      <c r="E3" s="6" t="s">
        <v>6</v>
      </c>
      <c r="F3" s="8" t="s">
        <v>7</v>
      </c>
      <c r="G3" s="10" t="s">
        <v>8</v>
      </c>
      <c r="H3" s="11" t="s">
        <v>9</v>
      </c>
      <c r="I3" s="11" t="s">
        <v>12</v>
      </c>
      <c r="J3" s="10" t="s">
        <v>13</v>
      </c>
      <c r="K3" s="13" t="s">
        <v>15</v>
      </c>
      <c r="L3" s="10" t="s">
        <v>16</v>
      </c>
      <c r="M3" s="10" t="s">
        <v>17</v>
      </c>
    </row>
    <row r="4" spans="1:13" x14ac:dyDescent="0.25">
      <c r="A4" s="2">
        <v>44184</v>
      </c>
      <c r="B4" s="5">
        <v>13.1875</v>
      </c>
      <c r="C4" s="5">
        <v>764</v>
      </c>
      <c r="D4" s="5">
        <v>93.375</v>
      </c>
      <c r="E4" s="5">
        <f>Таблица1[[#This Row],[pressure]]/760*101325</f>
        <v>101858.28947368421</v>
      </c>
      <c r="F4" s="7">
        <f>Таблица1[[#This Row],[humidity]]/100</f>
        <v>0.93374999999999997</v>
      </c>
      <c r="G4" s="5" cm="1">
        <f t="array" ref="G4">wet_bulb_temp(Таблица1[[#This Row],[temp]],Таблица1[[#This Row],[humidity_ratio]],Таблица1[[#This Row],[pressure_kpa]])</f>
        <v>12.50912569623601</v>
      </c>
      <c r="H4" s="5" cm="1">
        <f t="array" ref="H4">wet_bulb_temp_simple(Таблица1[[#This Row],[temp]],Таблица1[[#This Row],[humidity]])</f>
        <v>12.424988597911335</v>
      </c>
      <c r="I4" s="5">
        <f>IF(Таблица1[[#This Row],[wet_bulb_thermo]]+$F$1&lt;20,20,Таблица1[[#This Row],[wet_bulb_thermo]]+$F$1)</f>
        <v>22.509125696236012</v>
      </c>
      <c r="J4" s="9">
        <f>Таблица1[[#This Row],[Tcold]]+$I$1</f>
        <v>32.509125696236012</v>
      </c>
      <c r="K4" s="12" cm="1">
        <f t="array" ref="K4">evaporation(Таблица1[[#This Row],[Thot]],Таблица1[[#This Row],[Tcold]],Таблица1[[#This Row],[temp]],Таблица1[[#This Row],[humidity_ratio]],Таблица1[[#This Row],[pressure_kpa]])/$I$1</f>
        <v>1.2517116739859282E-3</v>
      </c>
      <c r="L4">
        <f>MONTH(Таблица1[[#This Row],[date]])</f>
        <v>12</v>
      </c>
      <c r="M4" t="str">
        <f>IF(AND(Таблица1[[#This Row],[month]]&gt;3, Таблица1[[#This Row],[month]]&lt;11),"SUMMER","WINTER")</f>
        <v>WINTER</v>
      </c>
    </row>
    <row r="5" spans="1:13" x14ac:dyDescent="0.25">
      <c r="A5" s="2">
        <v>44185</v>
      </c>
      <c r="B5" s="5">
        <v>13.7125</v>
      </c>
      <c r="C5" s="5">
        <v>765.77499999999998</v>
      </c>
      <c r="D5" s="5">
        <v>88.625</v>
      </c>
      <c r="E5" s="5">
        <f>Таблица1[[#This Row],[pressure]]/760*101325</f>
        <v>102094.93667763157</v>
      </c>
      <c r="F5" s="7">
        <f>Таблица1[[#This Row],[humidity]]/100</f>
        <v>0.88624999999999998</v>
      </c>
      <c r="G5" s="5" cm="1">
        <f t="array" ref="G5">wet_bulb_temp(Таблица1[[#This Row],[temp]],Таблица1[[#This Row],[humidity_ratio]],Таблица1[[#This Row],[pressure_kpa]])</f>
        <v>12.541722029089524</v>
      </c>
      <c r="H5" s="5" cm="1">
        <f t="array" ref="H5">wet_bulb_temp_simple(Таблица1[[#This Row],[temp]],Таблица1[[#This Row],[humidity]])</f>
        <v>12.426581346837263</v>
      </c>
      <c r="I5" s="5">
        <f>IF(Таблица1[[#This Row],[wet_bulb_thermo]]+$F$1&lt;20,20,Таблица1[[#This Row],[wet_bulb_thermo]]+$F$1)</f>
        <v>22.541722029089524</v>
      </c>
      <c r="J5" s="9">
        <f>Таблица1[[#This Row],[Tcold]]+$I$1</f>
        <v>32.541722029089527</v>
      </c>
      <c r="K5" s="12" cm="1">
        <f t="array" ref="K5">evaporation(Таблица1[[#This Row],[Thot]],Таблица1[[#This Row],[Tcold]],Таблица1[[#This Row],[temp]],Таблица1[[#This Row],[humidity_ratio]],Таблица1[[#This Row],[pressure_kpa]])/$I$1</f>
        <v>1.2621592716181101E-3</v>
      </c>
      <c r="L5">
        <f>MONTH(Таблица1[[#This Row],[date]])</f>
        <v>12</v>
      </c>
      <c r="M5" t="str">
        <f>IF(AND(Таблица1[[#This Row],[month]]&gt;3, Таблица1[[#This Row],[month]]&lt;11),"SUMMER","WINTER")</f>
        <v>WINTER</v>
      </c>
    </row>
    <row r="6" spans="1:13" x14ac:dyDescent="0.25">
      <c r="A6" s="2">
        <v>44186</v>
      </c>
      <c r="B6" s="5">
        <v>12.237500000000001</v>
      </c>
      <c r="C6" s="5">
        <v>765.42499999999995</v>
      </c>
      <c r="D6" s="5">
        <v>79</v>
      </c>
      <c r="E6" s="5">
        <f>Таблица1[[#This Row],[pressure]]/760*101325</f>
        <v>102048.2738486842</v>
      </c>
      <c r="F6" s="7">
        <f>Таблица1[[#This Row],[humidity]]/100</f>
        <v>0.79</v>
      </c>
      <c r="G6" s="5" cm="1">
        <f t="array" ref="G6">wet_bulb_temp(Таблица1[[#This Row],[temp]],Таблица1[[#This Row],[humidity_ratio]],Таблица1[[#This Row],[pressure_kpa]])</f>
        <v>10.222866679400411</v>
      </c>
      <c r="H6" s="5" cm="1">
        <f t="array" ref="H6">wet_bulb_temp_simple(Таблица1[[#This Row],[temp]],Таблица1[[#This Row],[humidity]])</f>
        <v>9.9732226396555106</v>
      </c>
      <c r="I6" s="5">
        <f>IF(Таблица1[[#This Row],[wet_bulb_thermo]]+$F$1&lt;20,20,Таблица1[[#This Row],[wet_bulb_thermo]]+$F$1)</f>
        <v>20.222866679400411</v>
      </c>
      <c r="J6" s="9">
        <f>Таблица1[[#This Row],[Tcold]]+$I$1</f>
        <v>30.222866679400411</v>
      </c>
      <c r="K6" s="12" cm="1">
        <f t="array" ref="K6">evaporation(Таблица1[[#This Row],[Thot]],Таблица1[[#This Row],[Tcold]],Таблица1[[#This Row],[temp]],Таблица1[[#This Row],[humidity_ratio]],Таблица1[[#This Row],[pressure_kpa]])/$I$1</f>
        <v>1.2408948902827939E-3</v>
      </c>
      <c r="L6">
        <f>MONTH(Таблица1[[#This Row],[date]])</f>
        <v>12</v>
      </c>
      <c r="M6" t="str">
        <f>IF(AND(Таблица1[[#This Row],[month]]&gt;3, Таблица1[[#This Row],[month]]&lt;11),"SUMMER","WINTER")</f>
        <v>WINTER</v>
      </c>
    </row>
    <row r="7" spans="1:13" x14ac:dyDescent="0.25">
      <c r="A7" s="2">
        <v>44187</v>
      </c>
      <c r="B7" s="5">
        <v>11.3</v>
      </c>
      <c r="C7" s="5">
        <v>764.05</v>
      </c>
      <c r="D7" s="5">
        <v>80</v>
      </c>
      <c r="E7" s="5">
        <f>Таблица1[[#This Row],[pressure]]/760*101325</f>
        <v>101864.95559210527</v>
      </c>
      <c r="F7" s="7">
        <f>Таблица1[[#This Row],[humidity]]/100</f>
        <v>0.8</v>
      </c>
      <c r="G7" s="5" cm="1">
        <f t="array" ref="G7">wet_bulb_temp(Таблица1[[#This Row],[temp]],Таблица1[[#This Row],[humidity_ratio]],Таблица1[[#This Row],[pressure_kpa]])</f>
        <v>9.4569233418955676</v>
      </c>
      <c r="H7" s="5" cm="1">
        <f t="array" ref="H7">wet_bulb_temp_simple(Таблица1[[#This Row],[temp]],Таблица1[[#This Row],[humidity]])</f>
        <v>9.1767424868759786</v>
      </c>
      <c r="I7" s="5">
        <f>IF(Таблица1[[#This Row],[wet_bulb_thermo]]+$F$1&lt;20,20,Таблица1[[#This Row],[wet_bulb_thermo]]+$F$1)</f>
        <v>20</v>
      </c>
      <c r="J7" s="9">
        <f>Таблица1[[#This Row],[Tcold]]+$I$1</f>
        <v>30</v>
      </c>
      <c r="K7" s="12" cm="1">
        <f t="array" ref="K7">evaporation(Таблица1[[#This Row],[Thot]],Таблица1[[#This Row],[Tcold]],Таблица1[[#This Row],[temp]],Таблица1[[#This Row],[humidity_ratio]],Таблица1[[#This Row],[pressure_kpa]])/$I$1</f>
        <v>1.2282480170171185E-3</v>
      </c>
      <c r="L7">
        <f>MONTH(Таблица1[[#This Row],[date]])</f>
        <v>12</v>
      </c>
      <c r="M7" t="str">
        <f>IF(AND(Таблица1[[#This Row],[month]]&gt;3, Таблица1[[#This Row],[month]]&lt;11),"SUMMER","WINTER")</f>
        <v>WINTER</v>
      </c>
    </row>
    <row r="8" spans="1:13" x14ac:dyDescent="0.25">
      <c r="A8" s="2">
        <v>44188</v>
      </c>
      <c r="B8" s="5">
        <v>11.637499999999999</v>
      </c>
      <c r="C8" s="5">
        <v>761.11249999999995</v>
      </c>
      <c r="D8" s="5">
        <v>86.875</v>
      </c>
      <c r="E8" s="5">
        <f>Таблица1[[#This Row],[pressure]]/760*101325</f>
        <v>101473.3211348684</v>
      </c>
      <c r="F8" s="7">
        <f>Таблица1[[#This Row],[humidity]]/100</f>
        <v>0.86875000000000002</v>
      </c>
      <c r="G8" s="5" cm="1">
        <f t="array" ref="G8">wet_bulb_temp(Таблица1[[#This Row],[temp]],Таблица1[[#This Row],[humidity_ratio]],Таблица1[[#This Row],[pressure_kpa]])</f>
        <v>10.437271589768701</v>
      </c>
      <c r="H8" s="5" cm="1">
        <f t="array" ref="H8">wet_bulb_temp_simple(Таблица1[[#This Row],[temp]],Таблица1[[#This Row],[humidity]])</f>
        <v>10.207757898525637</v>
      </c>
      <c r="I8" s="5">
        <f>IF(Таблица1[[#This Row],[wet_bulb_thermo]]+$F$1&lt;20,20,Таблица1[[#This Row],[wet_bulb_thermo]]+$F$1)</f>
        <v>20.437271589768699</v>
      </c>
      <c r="J8" s="9">
        <f>Таблица1[[#This Row],[Tcold]]+$I$1</f>
        <v>30.437271589768699</v>
      </c>
      <c r="K8" s="12" cm="1">
        <f t="array" ref="K8">evaporation(Таблица1[[#This Row],[Thot]],Таблица1[[#This Row],[Tcold]],Таблица1[[#This Row],[temp]],Таблица1[[#This Row],[humidity_ratio]],Таблица1[[#This Row],[pressure_kpa]])/$I$1</f>
        <v>1.2276825738864361E-3</v>
      </c>
      <c r="L8">
        <f>MONTH(Таблица1[[#This Row],[date]])</f>
        <v>12</v>
      </c>
      <c r="M8" t="str">
        <f>IF(AND(Таблица1[[#This Row],[month]]&gt;3, Таблица1[[#This Row],[month]]&lt;11),"SUMMER","WINTER")</f>
        <v>WINTER</v>
      </c>
    </row>
    <row r="9" spans="1:13" x14ac:dyDescent="0.25">
      <c r="A9" s="2">
        <v>44189</v>
      </c>
      <c r="B9" s="5">
        <v>14.925000000000001</v>
      </c>
      <c r="C9" s="5">
        <v>758.98749999999995</v>
      </c>
      <c r="D9" s="5">
        <v>70.125</v>
      </c>
      <c r="E9" s="5">
        <f>Таблица1[[#This Row],[pressure]]/760*101325</f>
        <v>101190.01110197368</v>
      </c>
      <c r="F9" s="7">
        <f>Таблица1[[#This Row],[humidity]]/100</f>
        <v>0.70125000000000004</v>
      </c>
      <c r="G9" s="5" cm="1">
        <f t="array" ref="G9">wet_bulb_temp(Таблица1[[#This Row],[temp]],Таблица1[[#This Row],[humidity_ratio]],Таблица1[[#This Row],[pressure_kpa]])</f>
        <v>11.841632842021481</v>
      </c>
      <c r="H9" s="5" cm="1">
        <f t="array" ref="H9">wet_bulb_temp_simple(Таблица1[[#This Row],[temp]],Таблица1[[#This Row],[humidity]])</f>
        <v>11.566154837078669</v>
      </c>
      <c r="I9" s="5">
        <f>IF(Таблица1[[#This Row],[wet_bulb_thermo]]+$F$1&lt;20,20,Таблица1[[#This Row],[wet_bulb_thermo]]+$F$1)</f>
        <v>21.841632842021482</v>
      </c>
      <c r="J9" s="9">
        <f>Таблица1[[#This Row],[Tcold]]+$I$1</f>
        <v>31.841632842021482</v>
      </c>
      <c r="K9" s="12" cm="1">
        <f t="array" ref="K9">evaporation(Таблица1[[#This Row],[Thot]],Таблица1[[#This Row],[Tcold]],Таблица1[[#This Row],[temp]],Таблица1[[#This Row],[humidity_ratio]],Таблица1[[#This Row],[pressure_kpa]])/$I$1</f>
        <v>1.2971886691373299E-3</v>
      </c>
      <c r="L9">
        <f>MONTH(Таблица1[[#This Row],[date]])</f>
        <v>12</v>
      </c>
      <c r="M9" t="str">
        <f>IF(AND(Таблица1[[#This Row],[month]]&gt;3, Таблица1[[#This Row],[month]]&lt;11),"SUMMER","WINTER")</f>
        <v>WINTER</v>
      </c>
    </row>
    <row r="10" spans="1:13" x14ac:dyDescent="0.25">
      <c r="A10" s="2">
        <v>44190</v>
      </c>
      <c r="B10" s="5">
        <v>11.3375</v>
      </c>
      <c r="C10" s="5">
        <v>764.11249999999995</v>
      </c>
      <c r="D10" s="5">
        <v>61.5</v>
      </c>
      <c r="E10" s="5">
        <f>Таблица1[[#This Row],[pressure]]/760*101325</f>
        <v>101873.28824013157</v>
      </c>
      <c r="F10" s="7">
        <f>Таблица1[[#This Row],[humidity]]/100</f>
        <v>0.61499999999999999</v>
      </c>
      <c r="G10" s="5" cm="1">
        <f t="array" ref="G10">wet_bulb_temp(Таблица1[[#This Row],[temp]],Таблица1[[#This Row],[humidity_ratio]],Таблица1[[#This Row],[pressure_kpa]])</f>
        <v>7.7388278792349769</v>
      </c>
      <c r="H10" s="5" cm="1">
        <f t="array" ref="H10">wet_bulb_temp_simple(Таблица1[[#This Row],[temp]],Таблица1[[#This Row],[humidity]])</f>
        <v>7.3723559479055263</v>
      </c>
      <c r="I10" s="5">
        <f>IF(Таблица1[[#This Row],[wet_bulb_thermo]]+$F$1&lt;20,20,Таблица1[[#This Row],[wet_bulb_thermo]]+$F$1)</f>
        <v>20</v>
      </c>
      <c r="J10" s="9">
        <f>Таблица1[[#This Row],[Tcold]]+$I$1</f>
        <v>30</v>
      </c>
      <c r="K10" s="12" cm="1">
        <f t="array" ref="K10">evaporation(Таблица1[[#This Row],[Thot]],Таблица1[[#This Row],[Tcold]],Таблица1[[#This Row],[temp]],Таблица1[[#This Row],[humidity_ratio]],Таблица1[[#This Row],[pressure_kpa]])/$I$1</f>
        <v>1.2520674369206526E-3</v>
      </c>
      <c r="L10">
        <f>MONTH(Таблица1[[#This Row],[date]])</f>
        <v>12</v>
      </c>
      <c r="M10" t="str">
        <f>IF(AND(Таблица1[[#This Row],[month]]&gt;3, Таблица1[[#This Row],[month]]&lt;11),"SUMMER","WINTER")</f>
        <v>WINTER</v>
      </c>
    </row>
    <row r="11" spans="1:13" x14ac:dyDescent="0.25">
      <c r="A11" s="2">
        <v>44191</v>
      </c>
      <c r="B11" s="5">
        <v>10.7</v>
      </c>
      <c r="C11" s="5">
        <v>765.8</v>
      </c>
      <c r="D11" s="5">
        <v>52.375</v>
      </c>
      <c r="E11" s="5">
        <f>Таблица1[[#This Row],[pressure]]/760*101325</f>
        <v>102098.26973684211</v>
      </c>
      <c r="F11" s="7">
        <f>Таблица1[[#This Row],[humidity]]/100</f>
        <v>0.52375000000000005</v>
      </c>
      <c r="G11" s="5" cm="1">
        <f t="array" ref="G11">wet_bulb_temp(Таблица1[[#This Row],[temp]],Таблица1[[#This Row],[humidity_ratio]],Таблица1[[#This Row],[pressure_kpa]])</f>
        <v>6.2966946461722761</v>
      </c>
      <c r="H11" s="5" cm="1">
        <f t="array" ref="H11">wet_bulb_temp_simple(Таблица1[[#This Row],[temp]],Таблица1[[#This Row],[humidity]])</f>
        <v>5.9278423119423174</v>
      </c>
      <c r="I11" s="5">
        <f>IF(Таблица1[[#This Row],[wet_bulb_thermo]]+$F$1&lt;20,20,Таблица1[[#This Row],[wet_bulb_thermo]]+$F$1)</f>
        <v>20</v>
      </c>
      <c r="J11" s="9">
        <f>Таблица1[[#This Row],[Tcold]]+$I$1</f>
        <v>30</v>
      </c>
      <c r="K11" s="12" cm="1">
        <f t="array" ref="K11">evaporation(Таблица1[[#This Row],[Thot]],Таблица1[[#This Row],[Tcold]],Таблица1[[#This Row],[temp]],Таблица1[[#This Row],[humidity_ratio]],Таблица1[[#This Row],[pressure_kpa]])/$I$1</f>
        <v>1.253820062090678E-3</v>
      </c>
      <c r="L11">
        <f>MONTH(Таблица1[[#This Row],[date]])</f>
        <v>12</v>
      </c>
      <c r="M11" t="str">
        <f>IF(AND(Таблица1[[#This Row],[month]]&gt;3, Таблица1[[#This Row],[month]]&lt;11),"SUMMER","WINTER")</f>
        <v>WINTER</v>
      </c>
    </row>
    <row r="12" spans="1:13" x14ac:dyDescent="0.25">
      <c r="A12" s="2">
        <v>44192</v>
      </c>
      <c r="B12" s="5">
        <v>10.4625</v>
      </c>
      <c r="C12" s="5">
        <v>765.9</v>
      </c>
      <c r="D12" s="5">
        <v>63.875</v>
      </c>
      <c r="E12" s="5">
        <f>Таблица1[[#This Row],[pressure]]/760*101325</f>
        <v>102111.60197368421</v>
      </c>
      <c r="F12" s="7">
        <f>Таблица1[[#This Row],[humidity]]/100</f>
        <v>0.63875000000000004</v>
      </c>
      <c r="G12" s="5" cm="1">
        <f t="array" ref="G12">wet_bulb_temp(Таблица1[[#This Row],[temp]],Таблица1[[#This Row],[humidity_ratio]],Таблица1[[#This Row],[pressure_kpa]])</f>
        <v>7.1876972047382743</v>
      </c>
      <c r="H12" s="5" cm="1">
        <f t="array" ref="H12">wet_bulb_temp_simple(Таблица1[[#This Row],[temp]],Таблица1[[#This Row],[humidity]])</f>
        <v>6.8073917120904106</v>
      </c>
      <c r="I12" s="5">
        <f>IF(Таблица1[[#This Row],[wet_bulb_thermo]]+$F$1&lt;20,20,Таблица1[[#This Row],[wet_bulb_thermo]]+$F$1)</f>
        <v>20</v>
      </c>
      <c r="J12" s="9">
        <f>Таблица1[[#This Row],[Tcold]]+$I$1</f>
        <v>30</v>
      </c>
      <c r="K12" s="12" cm="1">
        <f t="array" ref="K12">evaporation(Таблица1[[#This Row],[Thot]],Таблица1[[#This Row],[Tcold]],Таблица1[[#This Row],[temp]],Таблица1[[#This Row],[humidity_ratio]],Таблица1[[#This Row],[pressure_kpa]])/$I$1</f>
        <v>1.2379691091526823E-3</v>
      </c>
      <c r="L12">
        <f>MONTH(Таблица1[[#This Row],[date]])</f>
        <v>12</v>
      </c>
      <c r="M12" t="str">
        <f>IF(AND(Таблица1[[#This Row],[month]]&gt;3, Таблица1[[#This Row],[month]]&lt;11),"SUMMER","WINTER")</f>
        <v>WINTER</v>
      </c>
    </row>
    <row r="13" spans="1:13" x14ac:dyDescent="0.25">
      <c r="A13" s="2">
        <v>44193</v>
      </c>
      <c r="B13" s="5">
        <v>12.4625</v>
      </c>
      <c r="C13" s="5">
        <v>765.27499999999998</v>
      </c>
      <c r="D13" s="5">
        <v>68.75</v>
      </c>
      <c r="E13" s="5">
        <f>Таблица1[[#This Row],[pressure]]/760*101325</f>
        <v>102028.27549342105</v>
      </c>
      <c r="F13" s="7">
        <f>Таблица1[[#This Row],[humidity]]/100</f>
        <v>0.6875</v>
      </c>
      <c r="G13" s="5" cm="1">
        <f t="array" ref="G13">wet_bulb_temp(Таблица1[[#This Row],[temp]],Таблица1[[#This Row],[humidity_ratio]],Таблица1[[#This Row],[pressure_kpa]])</f>
        <v>9.4321215255062807</v>
      </c>
      <c r="H13" s="5" cm="1">
        <f t="array" ref="H13">wet_bulb_temp_simple(Таблица1[[#This Row],[temp]],Таблица1[[#This Row],[humidity]])</f>
        <v>9.1300613179924142</v>
      </c>
      <c r="I13" s="5">
        <f>IF(Таблица1[[#This Row],[wet_bulb_thermo]]+$F$1&lt;20,20,Таблица1[[#This Row],[wet_bulb_thermo]]+$F$1)</f>
        <v>20</v>
      </c>
      <c r="J13" s="9">
        <f>Таблица1[[#This Row],[Tcold]]+$I$1</f>
        <v>30</v>
      </c>
      <c r="K13" s="12" cm="1">
        <f t="array" ref="K13">evaporation(Таблица1[[#This Row],[Thot]],Таблица1[[#This Row],[Tcold]],Таблица1[[#This Row],[temp]],Таблица1[[#This Row],[humidity_ratio]],Таблица1[[#This Row],[pressure_kpa]])/$I$1</f>
        <v>1.2559737511417678E-3</v>
      </c>
      <c r="L13">
        <f>MONTH(Таблица1[[#This Row],[date]])</f>
        <v>12</v>
      </c>
      <c r="M13" t="str">
        <f>IF(AND(Таблица1[[#This Row],[month]]&gt;3, Таблица1[[#This Row],[month]]&lt;11),"SUMMER","WINTER")</f>
        <v>WINTER</v>
      </c>
    </row>
    <row r="14" spans="1:13" x14ac:dyDescent="0.25">
      <c r="A14" s="2">
        <v>44194</v>
      </c>
      <c r="B14" s="5">
        <v>13.9625</v>
      </c>
      <c r="C14" s="5">
        <v>763.82500000000005</v>
      </c>
      <c r="D14" s="5">
        <v>61.625</v>
      </c>
      <c r="E14" s="5">
        <f>Таблица1[[#This Row],[pressure]]/760*101325</f>
        <v>101834.95805921052</v>
      </c>
      <c r="F14" s="7">
        <f>Таблица1[[#This Row],[humidity]]/100</f>
        <v>0.61624999999999996</v>
      </c>
      <c r="G14" s="5" cm="1">
        <f t="array" ref="G14">wet_bulb_temp(Таблица1[[#This Row],[temp]],Таблица1[[#This Row],[humidity_ratio]],Таблица1[[#This Row],[pressure_kpa]])</f>
        <v>10.028693703027354</v>
      </c>
      <c r="H14" s="5" cm="1">
        <f t="array" ref="H14">wet_bulb_temp_simple(Таблица1[[#This Row],[temp]],Таблица1[[#This Row],[humidity]])</f>
        <v>9.7584918747989597</v>
      </c>
      <c r="I14" s="5">
        <f>IF(Таблица1[[#This Row],[wet_bulb_thermo]]+$F$1&lt;20,20,Таблица1[[#This Row],[wet_bulb_thermo]]+$F$1)</f>
        <v>20.028693703027354</v>
      </c>
      <c r="J14" s="9">
        <f>Таблица1[[#This Row],[Tcold]]+$I$1</f>
        <v>30.028693703027354</v>
      </c>
      <c r="K14" s="12" cm="1">
        <f t="array" ref="K14">evaporation(Таблица1[[#This Row],[Thot]],Таблица1[[#This Row],[Tcold]],Таблица1[[#This Row],[temp]],Таблица1[[#This Row],[humidity_ratio]],Таблица1[[#This Row],[pressure_kpa]])/$I$1</f>
        <v>1.2854917793281169E-3</v>
      </c>
      <c r="L14">
        <f>MONTH(Таблица1[[#This Row],[date]])</f>
        <v>12</v>
      </c>
      <c r="M14" t="str">
        <f>IF(AND(Таблица1[[#This Row],[month]]&gt;3, Таблица1[[#This Row],[month]]&lt;11),"SUMMER","WINTER")</f>
        <v>WINTER</v>
      </c>
    </row>
    <row r="15" spans="1:13" x14ac:dyDescent="0.25">
      <c r="A15" s="2">
        <v>44195</v>
      </c>
      <c r="B15" s="5">
        <v>13.95</v>
      </c>
      <c r="C15" s="5">
        <v>762.98749999999995</v>
      </c>
      <c r="D15" s="5">
        <v>60</v>
      </c>
      <c r="E15" s="5">
        <f>Таблица1[[#This Row],[pressure]]/760*101325</f>
        <v>101723.30057565788</v>
      </c>
      <c r="F15" s="7">
        <f>Таблица1[[#This Row],[humidity]]/100</f>
        <v>0.6</v>
      </c>
      <c r="G15" s="5" cm="1">
        <f t="array" ref="G15">wet_bulb_temp(Таблица1[[#This Row],[temp]],Таблица1[[#This Row],[humidity_ratio]],Таблица1[[#This Row],[pressure_kpa]])</f>
        <v>9.850038145936022</v>
      </c>
      <c r="H15" s="5" cm="1">
        <f t="array" ref="H15">wet_bulb_temp_simple(Таблица1[[#This Row],[temp]],Таблица1[[#This Row],[humidity]])</f>
        <v>9.5731913919708482</v>
      </c>
      <c r="I15" s="5">
        <f>IF(Таблица1[[#This Row],[wet_bulb_thermo]]+$F$1&lt;20,20,Таблица1[[#This Row],[wet_bulb_thermo]]+$F$1)</f>
        <v>20</v>
      </c>
      <c r="J15" s="9">
        <f>Таблица1[[#This Row],[Tcold]]+$I$1</f>
        <v>30</v>
      </c>
      <c r="K15" s="12" cm="1">
        <f t="array" ref="K15">evaporation(Таблица1[[#This Row],[Thot]],Таблица1[[#This Row],[Tcold]],Таблица1[[#This Row],[temp]],Таблица1[[#This Row],[humidity_ratio]],Таблица1[[#This Row],[pressure_kpa]])/$I$1</f>
        <v>1.2878270969891548E-3</v>
      </c>
      <c r="L15">
        <f>MONTH(Таблица1[[#This Row],[date]])</f>
        <v>12</v>
      </c>
      <c r="M15" t="str">
        <f>IF(AND(Таблица1[[#This Row],[month]]&gt;3, Таблица1[[#This Row],[month]]&lt;11),"SUMMER","WINTER")</f>
        <v>WINTER</v>
      </c>
    </row>
    <row r="16" spans="1:13" x14ac:dyDescent="0.25">
      <c r="A16" s="2">
        <v>44196</v>
      </c>
      <c r="B16" s="5">
        <v>14.675000000000001</v>
      </c>
      <c r="C16" s="5">
        <v>762.625</v>
      </c>
      <c r="D16" s="5">
        <v>65.375</v>
      </c>
      <c r="E16" s="5">
        <f>Таблица1[[#This Row],[pressure]]/760*101325</f>
        <v>101674.97121710525</v>
      </c>
      <c r="F16" s="7">
        <f>Таблица1[[#This Row],[humidity]]/100</f>
        <v>0.65375000000000005</v>
      </c>
      <c r="G16" s="5" cm="1">
        <f t="array" ref="G16">wet_bulb_temp(Таблица1[[#This Row],[temp]],Таблица1[[#This Row],[humidity_ratio]],Таблица1[[#This Row],[pressure_kpa]])</f>
        <v>11.067324546323738</v>
      </c>
      <c r="H16" s="5" cm="1">
        <f t="array" ref="H16">wet_bulb_temp_simple(Таблица1[[#This Row],[temp]],Таблица1[[#This Row],[humidity]])</f>
        <v>10.813385922788004</v>
      </c>
      <c r="I16" s="5">
        <f>IF(Таблица1[[#This Row],[wet_bulb_thermo]]+$F$1&lt;20,20,Таблица1[[#This Row],[wet_bulb_thermo]]+$F$1)</f>
        <v>21.067324546323739</v>
      </c>
      <c r="J16" s="9">
        <f>Таблица1[[#This Row],[Tcold]]+$I$1</f>
        <v>31.067324546323739</v>
      </c>
      <c r="K16" s="12" cm="1">
        <f t="array" ref="K16">evaporation(Таблица1[[#This Row],[Thot]],Таблица1[[#This Row],[Tcold]],Таблица1[[#This Row],[temp]],Таблица1[[#This Row],[humidity_ratio]],Таблица1[[#This Row],[pressure_kpa]])/$I$1</f>
        <v>1.2949442823012118E-3</v>
      </c>
      <c r="L16">
        <f>MONTH(Таблица1[[#This Row],[date]])</f>
        <v>12</v>
      </c>
      <c r="M16" t="str">
        <f>IF(AND(Таблица1[[#This Row],[month]]&gt;3, Таблица1[[#This Row],[month]]&lt;11),"SUMMER","WINTER")</f>
        <v>WINTER</v>
      </c>
    </row>
    <row r="17" spans="1:13" x14ac:dyDescent="0.25">
      <c r="A17" s="2">
        <v>44197</v>
      </c>
      <c r="B17" s="5">
        <v>13.6</v>
      </c>
      <c r="C17" s="5">
        <v>762.85</v>
      </c>
      <c r="D17" s="5">
        <v>75.75</v>
      </c>
      <c r="E17" s="5">
        <f>Таблица1[[#This Row],[pressure]]/760*101325</f>
        <v>101704.96874999999</v>
      </c>
      <c r="F17" s="7">
        <f>Таблица1[[#This Row],[humidity]]/100</f>
        <v>0.75749999999999995</v>
      </c>
      <c r="G17" s="5" cm="1">
        <f t="array" ref="G17">wet_bulb_temp(Таблица1[[#This Row],[temp]],Таблица1[[#This Row],[humidity_ratio]],Таблица1[[#This Row],[pressure_kpa]])</f>
        <v>11.187893456242119</v>
      </c>
      <c r="H17" s="5" cm="1">
        <f t="array" ref="H17">wet_bulb_temp_simple(Таблица1[[#This Row],[temp]],Таблица1[[#This Row],[humidity]])</f>
        <v>10.930082942550001</v>
      </c>
      <c r="I17" s="5">
        <f>IF(Таблица1[[#This Row],[wet_bulb_thermo]]+$F$1&lt;20,20,Таблица1[[#This Row],[wet_bulb_thermo]]+$F$1)</f>
        <v>21.187893456242119</v>
      </c>
      <c r="J17" s="9">
        <f>Таблица1[[#This Row],[Tcold]]+$I$1</f>
        <v>31.187893456242119</v>
      </c>
      <c r="K17" s="12" cm="1">
        <f t="array" ref="K17">evaporation(Таблица1[[#This Row],[Thot]],Таблица1[[#This Row],[Tcold]],Таблица1[[#This Row],[temp]],Таблица1[[#This Row],[humidity_ratio]],Таблица1[[#This Row],[pressure_kpa]])/$I$1</f>
        <v>1.2687564576714344E-3</v>
      </c>
      <c r="L17">
        <f>MONTH(Таблица1[[#This Row],[date]])</f>
        <v>1</v>
      </c>
      <c r="M17" t="str">
        <f>IF(AND(Таблица1[[#This Row],[month]]&gt;3, Таблица1[[#This Row],[month]]&lt;11),"SUMMER","WINTER")</f>
        <v>WINTER</v>
      </c>
    </row>
    <row r="18" spans="1:13" x14ac:dyDescent="0.25">
      <c r="A18" s="2">
        <v>44198</v>
      </c>
      <c r="B18" s="5">
        <v>16</v>
      </c>
      <c r="C18" s="5">
        <v>763.41250000000002</v>
      </c>
      <c r="D18" s="5">
        <v>67.375</v>
      </c>
      <c r="E18" s="5">
        <f>Таблица1[[#This Row],[pressure]]/760*101325</f>
        <v>101779.96258223684</v>
      </c>
      <c r="F18" s="7">
        <f>Таблица1[[#This Row],[humidity]]/100</f>
        <v>0.67374999999999996</v>
      </c>
      <c r="G18" s="5" cm="1">
        <f t="array" ref="G18">wet_bulb_temp(Таблица1[[#This Row],[temp]],Таблица1[[#This Row],[humidity_ratio]],Таблица1[[#This Row],[pressure_kpa]])</f>
        <v>12.453391781391952</v>
      </c>
      <c r="H18" s="5" cm="1">
        <f t="array" ref="H18">wet_bulb_temp_simple(Таблица1[[#This Row],[temp]],Таблица1[[#This Row],[humidity]])</f>
        <v>12.255734144052571</v>
      </c>
      <c r="I18" s="5">
        <f>IF(Таблица1[[#This Row],[wet_bulb_thermo]]+$F$1&lt;20,20,Таблица1[[#This Row],[wet_bulb_thermo]]+$F$1)</f>
        <v>22.45339178139195</v>
      </c>
      <c r="J18" s="9">
        <f>Таблица1[[#This Row],[Tcold]]+$I$1</f>
        <v>32.45339178139195</v>
      </c>
      <c r="K18" s="12" cm="1">
        <f t="array" ref="K18">evaporation(Таблица1[[#This Row],[Thot]],Таблица1[[#This Row],[Tcold]],Таблица1[[#This Row],[temp]],Таблица1[[#This Row],[humidity_ratio]],Таблица1[[#This Row],[pressure_kpa]])/$I$1</f>
        <v>1.3148684799110853E-3</v>
      </c>
      <c r="L18">
        <f>MONTH(Таблица1[[#This Row],[date]])</f>
        <v>1</v>
      </c>
      <c r="M18" t="str">
        <f>IF(AND(Таблица1[[#This Row],[month]]&gt;3, Таблица1[[#This Row],[month]]&lt;11),"SUMMER","WINTER")</f>
        <v>WINTER</v>
      </c>
    </row>
    <row r="19" spans="1:13" x14ac:dyDescent="0.25">
      <c r="A19" s="2">
        <v>44199</v>
      </c>
      <c r="B19" s="5">
        <v>15.7875</v>
      </c>
      <c r="C19" s="5">
        <v>762.17499999999995</v>
      </c>
      <c r="D19" s="5">
        <v>62.125</v>
      </c>
      <c r="E19" s="5">
        <f>Таблица1[[#This Row],[pressure]]/760*101325</f>
        <v>101614.97615131579</v>
      </c>
      <c r="F19" s="7">
        <f>Таблица1[[#This Row],[humidity]]/100</f>
        <v>0.62124999999999997</v>
      </c>
      <c r="G19" s="5" cm="1">
        <f t="array" ref="G19">wet_bulb_temp(Таблица1[[#This Row],[temp]],Таблица1[[#This Row],[humidity_ratio]],Таблица1[[#This Row],[pressure_kpa]])</f>
        <v>11.680642215841623</v>
      </c>
      <c r="H19" s="5" cm="1">
        <f t="array" ref="H19">wet_bulb_temp_simple(Таблица1[[#This Row],[temp]],Таблица1[[#This Row],[humidity]])</f>
        <v>11.465589269606657</v>
      </c>
      <c r="I19" s="5">
        <f>IF(Таблица1[[#This Row],[wet_bulb_thermo]]+$F$1&lt;20,20,Таблица1[[#This Row],[wet_bulb_thermo]]+$F$1)</f>
        <v>21.680642215841623</v>
      </c>
      <c r="J19" s="9">
        <f>Таблица1[[#This Row],[Tcold]]+$I$1</f>
        <v>31.680642215841623</v>
      </c>
      <c r="K19" s="12" cm="1">
        <f t="array" ref="K19">evaporation(Таблица1[[#This Row],[Thot]],Таблица1[[#This Row],[Tcold]],Таблица1[[#This Row],[temp]],Таблица1[[#This Row],[humidity_ratio]],Таблица1[[#This Row],[pressure_kpa]])/$I$1</f>
        <v>1.3163329948050148E-3</v>
      </c>
      <c r="L19">
        <f>MONTH(Таблица1[[#This Row],[date]])</f>
        <v>1</v>
      </c>
      <c r="M19" t="str">
        <f>IF(AND(Таблица1[[#This Row],[month]]&gt;3, Таблица1[[#This Row],[month]]&lt;11),"SUMMER","WINTER")</f>
        <v>WINTER</v>
      </c>
    </row>
    <row r="20" spans="1:13" x14ac:dyDescent="0.25">
      <c r="A20" s="2">
        <v>44200</v>
      </c>
      <c r="B20" s="5">
        <v>14.987500000000001</v>
      </c>
      <c r="C20" s="5">
        <v>761.36249999999995</v>
      </c>
      <c r="D20" s="5">
        <v>66</v>
      </c>
      <c r="E20" s="5">
        <f>Таблица1[[#This Row],[pressure]]/760*101325</f>
        <v>101506.65172697368</v>
      </c>
      <c r="F20" s="7">
        <f>Таблица1[[#This Row],[humidity]]/100</f>
        <v>0.66</v>
      </c>
      <c r="G20" s="5" cm="1">
        <f t="array" ref="G20">wet_bulb_temp(Таблица1[[#This Row],[temp]],Таблица1[[#This Row],[humidity_ratio]],Таблица1[[#This Row],[pressure_kpa]])</f>
        <v>11.423275605697853</v>
      </c>
      <c r="H20" s="5" cm="1">
        <f t="array" ref="H20">wet_bulb_temp_simple(Таблица1[[#This Row],[temp]],Таблица1[[#This Row],[humidity]])</f>
        <v>11.168961185104218</v>
      </c>
      <c r="I20" s="5">
        <f>IF(Таблица1[[#This Row],[wet_bulb_thermo]]+$F$1&lt;20,20,Таблица1[[#This Row],[wet_bulb_thermo]]+$F$1)</f>
        <v>21.423275605697853</v>
      </c>
      <c r="J20" s="9">
        <f>Таблица1[[#This Row],[Tcold]]+$I$1</f>
        <v>31.423275605697853</v>
      </c>
      <c r="K20" s="12" cm="1">
        <f t="array" ref="K20">evaporation(Таблица1[[#This Row],[Thot]],Таблица1[[#This Row],[Tcold]],Таблица1[[#This Row],[temp]],Таблица1[[#This Row],[humidity_ratio]],Таблица1[[#This Row],[pressure_kpa]])/$I$1</f>
        <v>1.3002592349854484E-3</v>
      </c>
      <c r="L20">
        <f>MONTH(Таблица1[[#This Row],[date]])</f>
        <v>1</v>
      </c>
      <c r="M20" t="str">
        <f>IF(AND(Таблица1[[#This Row],[month]]&gt;3, Таблица1[[#This Row],[month]]&lt;11),"SUMMER","WINTER")</f>
        <v>WINTER</v>
      </c>
    </row>
    <row r="21" spans="1:13" x14ac:dyDescent="0.25">
      <c r="A21" s="2">
        <v>44201</v>
      </c>
      <c r="B21" s="5">
        <v>14.375</v>
      </c>
      <c r="C21" s="5">
        <v>762.91250000000002</v>
      </c>
      <c r="D21" s="5">
        <v>56.875</v>
      </c>
      <c r="E21" s="5">
        <f>Таблица1[[#This Row],[pressure]]/760*101325</f>
        <v>101713.30139802632</v>
      </c>
      <c r="F21" s="7">
        <f>Таблица1[[#This Row],[humidity]]/100</f>
        <v>0.56874999999999998</v>
      </c>
      <c r="G21" s="5" cm="1">
        <f t="array" ref="G21">wet_bulb_temp(Таблица1[[#This Row],[temp]],Таблица1[[#This Row],[humidity_ratio]],Таблица1[[#This Row],[pressure_kpa]])</f>
        <v>9.87113024981881</v>
      </c>
      <c r="H21" s="5" cm="1">
        <f t="array" ref="H21">wet_bulb_temp_simple(Таблица1[[#This Row],[temp]],Таблица1[[#This Row],[humidity]])</f>
        <v>9.6152818965010969</v>
      </c>
      <c r="I21" s="5">
        <f>IF(Таблица1[[#This Row],[wet_bulb_thermo]]+$F$1&lt;20,20,Таблица1[[#This Row],[wet_bulb_thermo]]+$F$1)</f>
        <v>20</v>
      </c>
      <c r="J21" s="9">
        <f>Таблица1[[#This Row],[Tcold]]+$I$1</f>
        <v>30</v>
      </c>
      <c r="K21" s="12" cm="1">
        <f t="array" ref="K21">evaporation(Таблица1[[#This Row],[Thot]],Таблица1[[#This Row],[Tcold]],Таблица1[[#This Row],[temp]],Таблица1[[#This Row],[humidity_ratio]],Таблица1[[#This Row],[pressure_kpa]])/$I$1</f>
        <v>1.2979902859890254E-3</v>
      </c>
      <c r="L21">
        <f>MONTH(Таблица1[[#This Row],[date]])</f>
        <v>1</v>
      </c>
      <c r="M21" t="str">
        <f>IF(AND(Таблица1[[#This Row],[month]]&gt;3, Таблица1[[#This Row],[month]]&lt;11),"SUMMER","WINTER")</f>
        <v>WINTER</v>
      </c>
    </row>
    <row r="22" spans="1:13" x14ac:dyDescent="0.25">
      <c r="A22" s="2">
        <v>44202</v>
      </c>
      <c r="B22" s="5">
        <v>12.762499999999999</v>
      </c>
      <c r="C22" s="5">
        <v>763.9375</v>
      </c>
      <c r="D22" s="5">
        <v>67.25</v>
      </c>
      <c r="E22" s="5">
        <f>Таблица1[[#This Row],[pressure]]/760*101325</f>
        <v>101849.95682565791</v>
      </c>
      <c r="F22" s="7">
        <f>Таблица1[[#This Row],[humidity]]/100</f>
        <v>0.67249999999999999</v>
      </c>
      <c r="G22" s="5" cm="1">
        <f t="array" ref="G22">wet_bulb_temp(Таблица1[[#This Row],[temp]],Таблица1[[#This Row],[humidity_ratio]],Таблица1[[#This Row],[pressure_kpa]])</f>
        <v>9.5610859240177266</v>
      </c>
      <c r="H22" s="5" cm="1">
        <f t="array" ref="H22">wet_bulb_temp_simple(Таблица1[[#This Row],[temp]],Таблица1[[#This Row],[humidity]])</f>
        <v>9.2532736457109586</v>
      </c>
      <c r="I22" s="5">
        <f>IF(Таблица1[[#This Row],[wet_bulb_thermo]]+$F$1&lt;20,20,Таблица1[[#This Row],[wet_bulb_thermo]]+$F$1)</f>
        <v>20</v>
      </c>
      <c r="J22" s="9">
        <f>Таблица1[[#This Row],[Tcold]]+$I$1</f>
        <v>30</v>
      </c>
      <c r="K22" s="12" cm="1">
        <f t="array" ref="K22">evaporation(Таблица1[[#This Row],[Thot]],Таблица1[[#This Row],[Tcold]],Таблица1[[#This Row],[temp]],Таблица1[[#This Row],[humidity_ratio]],Таблица1[[#This Row],[pressure_kpa]])/$I$1</f>
        <v>1.262230694293548E-3</v>
      </c>
      <c r="L22">
        <f>MONTH(Таблица1[[#This Row],[date]])</f>
        <v>1</v>
      </c>
      <c r="M22" t="str">
        <f>IF(AND(Таблица1[[#This Row],[month]]&gt;3, Таблица1[[#This Row],[month]]&lt;11),"SUMMER","WINTER")</f>
        <v>WINTER</v>
      </c>
    </row>
    <row r="23" spans="1:13" x14ac:dyDescent="0.25">
      <c r="A23" s="2">
        <v>44203</v>
      </c>
      <c r="B23" s="5">
        <v>13.074999999999999</v>
      </c>
      <c r="C23" s="5">
        <v>763.95</v>
      </c>
      <c r="D23" s="5">
        <v>70.875</v>
      </c>
      <c r="E23" s="5">
        <f>Таблица1[[#This Row],[pressure]]/760*101325</f>
        <v>101851.62335526316</v>
      </c>
      <c r="F23" s="7">
        <f>Таблица1[[#This Row],[humidity]]/100</f>
        <v>0.70874999999999999</v>
      </c>
      <c r="G23" s="5" cm="1">
        <f t="array" ref="G23">wet_bulb_temp(Таблица1[[#This Row],[temp]],Таблица1[[#This Row],[humidity_ratio]],Таблица1[[#This Row],[pressure_kpa]])</f>
        <v>10.206375560741595</v>
      </c>
      <c r="H23" s="5" cm="1">
        <f t="array" ref="H23">wet_bulb_temp_simple(Таблица1[[#This Row],[temp]],Таблица1[[#This Row],[humidity]])</f>
        <v>9.9204876474795505</v>
      </c>
      <c r="I23" s="5">
        <f>IF(Таблица1[[#This Row],[wet_bulb_thermo]]+$F$1&lt;20,20,Таблица1[[#This Row],[wet_bulb_thermo]]+$F$1)</f>
        <v>20.206375560741595</v>
      </c>
      <c r="J23" s="9">
        <f>Таблица1[[#This Row],[Tcold]]+$I$1</f>
        <v>30.206375560741595</v>
      </c>
      <c r="K23" s="12" cm="1">
        <f t="array" ref="K23">evaporation(Таблица1[[#This Row],[Thot]],Таблица1[[#This Row],[Tcold]],Таблица1[[#This Row],[temp]],Таблица1[[#This Row],[humidity_ratio]],Таблица1[[#This Row],[pressure_kpa]])/$I$1</f>
        <v>1.2622985894748043E-3</v>
      </c>
      <c r="L23">
        <f>MONTH(Таблица1[[#This Row],[date]])</f>
        <v>1</v>
      </c>
      <c r="M23" t="str">
        <f>IF(AND(Таблица1[[#This Row],[month]]&gt;3, Таблица1[[#This Row],[month]]&lt;11),"SUMMER","WINTER")</f>
        <v>WINTER</v>
      </c>
    </row>
    <row r="24" spans="1:13" x14ac:dyDescent="0.25">
      <c r="A24" s="2">
        <v>44204</v>
      </c>
      <c r="B24" s="5">
        <v>13.074999999999999</v>
      </c>
      <c r="C24" s="5">
        <v>764.22500000000002</v>
      </c>
      <c r="D24" s="5">
        <v>72.375</v>
      </c>
      <c r="E24" s="5">
        <f>Таблица1[[#This Row],[pressure]]/760*101325</f>
        <v>101888.28700657895</v>
      </c>
      <c r="F24" s="7">
        <f>Таблица1[[#This Row],[humidity]]/100</f>
        <v>0.72375</v>
      </c>
      <c r="G24" s="5" cm="1">
        <f t="array" ref="G24">wet_bulb_temp(Таблица1[[#This Row],[temp]],Таблица1[[#This Row],[humidity_ratio]],Таблица1[[#This Row],[pressure_kpa]])</f>
        <v>10.354793084033332</v>
      </c>
      <c r="H24" s="5" cm="1">
        <f t="array" ref="H24">wet_bulb_temp_simple(Таблица1[[#This Row],[temp]],Таблица1[[#This Row],[humidity]])</f>
        <v>10.077614336704659</v>
      </c>
      <c r="I24" s="5">
        <f>IF(Таблица1[[#This Row],[wet_bulb_thermo]]+$F$1&lt;20,20,Таблица1[[#This Row],[wet_bulb_thermo]]+$F$1)</f>
        <v>20.354793084033332</v>
      </c>
      <c r="J24" s="9">
        <f>Таблица1[[#This Row],[Tcold]]+$I$1</f>
        <v>30.354793084033332</v>
      </c>
      <c r="K24" s="12" cm="1">
        <f t="array" ref="K24">evaporation(Таблица1[[#This Row],[Thot]],Таблица1[[#This Row],[Tcold]],Таблица1[[#This Row],[temp]],Таблица1[[#This Row],[humidity_ratio]],Таблица1[[#This Row],[pressure_kpa]])/$I$1</f>
        <v>1.2610723801866129E-3</v>
      </c>
      <c r="L24">
        <f>MONTH(Таблица1[[#This Row],[date]])</f>
        <v>1</v>
      </c>
      <c r="M24" t="str">
        <f>IF(AND(Таблица1[[#This Row],[month]]&gt;3, Таблица1[[#This Row],[month]]&lt;11),"SUMMER","WINTER")</f>
        <v>WINTER</v>
      </c>
    </row>
    <row r="25" spans="1:13" x14ac:dyDescent="0.25">
      <c r="A25" s="2">
        <v>44205</v>
      </c>
      <c r="B25" s="5">
        <v>12.074999999999999</v>
      </c>
      <c r="C25" s="5">
        <v>764.52499999999998</v>
      </c>
      <c r="D25" s="5">
        <v>72.125</v>
      </c>
      <c r="E25" s="5">
        <f>Таблица1[[#This Row],[pressure]]/760*101325</f>
        <v>101928.28371710525</v>
      </c>
      <c r="F25" s="7">
        <f>Таблица1[[#This Row],[humidity]]/100</f>
        <v>0.72124999999999995</v>
      </c>
      <c r="G25" s="5" cm="1">
        <f t="array" ref="G25">wet_bulb_temp(Таблица1[[#This Row],[temp]],Таблица1[[#This Row],[humidity_ratio]],Таблица1[[#This Row],[pressure_kpa]])</f>
        <v>9.4212602141750299</v>
      </c>
      <c r="H25" s="5" cm="1">
        <f t="array" ref="H25">wet_bulb_temp_simple(Таблица1[[#This Row],[temp]],Таблица1[[#This Row],[humidity]])</f>
        <v>9.1134286540293203</v>
      </c>
      <c r="I25" s="5">
        <f>IF(Таблица1[[#This Row],[wet_bulb_thermo]]+$F$1&lt;20,20,Таблица1[[#This Row],[wet_bulb_thermo]]+$F$1)</f>
        <v>20</v>
      </c>
      <c r="J25" s="9">
        <f>Таблица1[[#This Row],[Tcold]]+$I$1</f>
        <v>30</v>
      </c>
      <c r="K25" s="12" cm="1">
        <f t="array" ref="K25">evaporation(Таблица1[[#This Row],[Thot]],Таблица1[[#This Row],[Tcold]],Таблица1[[#This Row],[temp]],Таблица1[[#This Row],[humidity_ratio]],Таблица1[[#This Row],[pressure_kpa]])/$I$1</f>
        <v>1.2471867209537296E-3</v>
      </c>
      <c r="L25">
        <f>MONTH(Таблица1[[#This Row],[date]])</f>
        <v>1</v>
      </c>
      <c r="M25" t="str">
        <f>IF(AND(Таблица1[[#This Row],[month]]&gt;3, Таблица1[[#This Row],[month]]&lt;11),"SUMMER","WINTER")</f>
        <v>WINTER</v>
      </c>
    </row>
    <row r="26" spans="1:13" x14ac:dyDescent="0.25">
      <c r="A26" s="2">
        <v>44206</v>
      </c>
      <c r="B26" s="5">
        <v>12.275</v>
      </c>
      <c r="C26" s="5">
        <v>764.5625</v>
      </c>
      <c r="D26" s="5">
        <v>70.25</v>
      </c>
      <c r="E26" s="5">
        <f>Таблица1[[#This Row],[pressure]]/760*101325</f>
        <v>101933.28330592104</v>
      </c>
      <c r="F26" s="7">
        <f>Таблица1[[#This Row],[humidity]]/100</f>
        <v>0.70250000000000001</v>
      </c>
      <c r="G26" s="5" cm="1">
        <f t="array" ref="G26">wet_bulb_temp(Таблица1[[#This Row],[temp]],Таблица1[[#This Row],[humidity_ratio]],Таблица1[[#This Row],[pressure_kpa]])</f>
        <v>9.4185301441439293</v>
      </c>
      <c r="H26" s="5" cm="1">
        <f t="array" ref="H26">wet_bulb_temp_simple(Таблица1[[#This Row],[temp]],Таблица1[[#This Row],[humidity]])</f>
        <v>9.1092096105066798</v>
      </c>
      <c r="I26" s="5">
        <f>IF(Таблица1[[#This Row],[wet_bulb_thermo]]+$F$1&lt;20,20,Таблица1[[#This Row],[wet_bulb_thermo]]+$F$1)</f>
        <v>20</v>
      </c>
      <c r="J26" s="9">
        <f>Таблица1[[#This Row],[Tcold]]+$I$1</f>
        <v>30</v>
      </c>
      <c r="K26" s="12" cm="1">
        <f t="array" ref="K26">evaporation(Таблица1[[#This Row],[Thot]],Таблица1[[#This Row],[Tcold]],Таблица1[[#This Row],[temp]],Таблица1[[#This Row],[humidity_ratio]],Таблица1[[#This Row],[pressure_kpa]])/$I$1</f>
        <v>1.252031122690545E-3</v>
      </c>
      <c r="L26">
        <f>MONTH(Таблица1[[#This Row],[date]])</f>
        <v>1</v>
      </c>
      <c r="M26" t="str">
        <f>IF(AND(Таблица1[[#This Row],[month]]&gt;3, Таблица1[[#This Row],[month]]&lt;11),"SUMMER","WINTER")</f>
        <v>WINTER</v>
      </c>
    </row>
    <row r="27" spans="1:13" x14ac:dyDescent="0.25">
      <c r="A27" s="2">
        <v>44207</v>
      </c>
      <c r="B27" s="5">
        <v>12.862500000000001</v>
      </c>
      <c r="C27" s="5">
        <v>764.67500000000007</v>
      </c>
      <c r="D27" s="5">
        <v>56.25</v>
      </c>
      <c r="E27" s="5">
        <f>Таблица1[[#This Row],[pressure]]/760*101325</f>
        <v>101948.28207236843</v>
      </c>
      <c r="F27" s="7">
        <f>Таблица1[[#This Row],[humidity]]/100</f>
        <v>0.5625</v>
      </c>
      <c r="G27" s="5" cm="1">
        <f t="array" ref="G27">wet_bulb_temp(Таблица1[[#This Row],[temp]],Таблица1[[#This Row],[humidity_ratio]],Таблица1[[#This Row],[pressure_kpa]])</f>
        <v>8.510363593881122</v>
      </c>
      <c r="H27" s="5" cm="1">
        <f t="array" ref="H27">wet_bulb_temp_simple(Таблица1[[#This Row],[temp]],Таблица1[[#This Row],[humidity]])</f>
        <v>8.2088725967297904</v>
      </c>
      <c r="I27" s="5">
        <f>IF(Таблица1[[#This Row],[wet_bulb_thermo]]+$F$1&lt;20,20,Таблица1[[#This Row],[wet_bulb_thermo]]+$F$1)</f>
        <v>20</v>
      </c>
      <c r="J27" s="9">
        <f>Таблица1[[#This Row],[Tcold]]+$I$1</f>
        <v>30</v>
      </c>
      <c r="K27" s="12" cm="1">
        <f t="array" ref="K27">evaporation(Таблица1[[#This Row],[Thot]],Таблица1[[#This Row],[Tcold]],Таблица1[[#This Row],[temp]],Таблица1[[#This Row],[humidity_ratio]],Таблица1[[#This Row],[pressure_kpa]])/$I$1</f>
        <v>1.2776986504220158E-3</v>
      </c>
      <c r="L27">
        <f>MONTH(Таблица1[[#This Row],[date]])</f>
        <v>1</v>
      </c>
      <c r="M27" t="str">
        <f>IF(AND(Таблица1[[#This Row],[month]]&gt;3, Таблица1[[#This Row],[month]]&lt;11),"SUMMER","WINTER")</f>
        <v>WINTER</v>
      </c>
    </row>
    <row r="28" spans="1:13" x14ac:dyDescent="0.25">
      <c r="A28" s="2">
        <v>44208</v>
      </c>
      <c r="B28" s="5">
        <v>12.6</v>
      </c>
      <c r="C28" s="5">
        <v>764.6</v>
      </c>
      <c r="D28" s="5">
        <v>52.125</v>
      </c>
      <c r="E28" s="5">
        <f>Таблица1[[#This Row],[pressure]]/760*101325</f>
        <v>101938.28289473684</v>
      </c>
      <c r="F28" s="7">
        <f>Таблица1[[#This Row],[humidity]]/100</f>
        <v>0.52124999999999999</v>
      </c>
      <c r="G28" s="5" cm="1">
        <f t="array" ref="G28">wet_bulb_temp(Таблица1[[#This Row],[temp]],Таблица1[[#This Row],[humidity_ratio]],Таблица1[[#This Row],[pressure_kpa]])</f>
        <v>7.8582511231659824</v>
      </c>
      <c r="H28" s="5" cm="1">
        <f t="array" ref="H28">wet_bulb_temp_simple(Таблица1[[#This Row],[temp]],Таблица1[[#This Row],[humidity]])</f>
        <v>7.5546174517170614</v>
      </c>
      <c r="I28" s="5">
        <f>IF(Таблица1[[#This Row],[wet_bulb_thermo]]+$F$1&lt;20,20,Таблица1[[#This Row],[wet_bulb_thermo]]+$F$1)</f>
        <v>20</v>
      </c>
      <c r="J28" s="9">
        <f>Таблица1[[#This Row],[Tcold]]+$I$1</f>
        <v>30</v>
      </c>
      <c r="K28" s="12" cm="1">
        <f t="array" ref="K28">evaporation(Таблица1[[#This Row],[Thot]],Таблица1[[#This Row],[Tcold]],Таблица1[[#This Row],[temp]],Таблица1[[#This Row],[humidity_ratio]],Таблица1[[#This Row],[pressure_kpa]])/$I$1</f>
        <v>1.279388532892612E-3</v>
      </c>
      <c r="L28">
        <f>MONTH(Таблица1[[#This Row],[date]])</f>
        <v>1</v>
      </c>
      <c r="M28" t="str">
        <f>IF(AND(Таблица1[[#This Row],[month]]&gt;3, Таблица1[[#This Row],[month]]&lt;11),"SUMMER","WINTER")</f>
        <v>WINTER</v>
      </c>
    </row>
    <row r="29" spans="1:13" x14ac:dyDescent="0.25">
      <c r="A29" s="2">
        <v>44209</v>
      </c>
      <c r="B29" s="5">
        <v>11.824999999999999</v>
      </c>
      <c r="C29" s="5">
        <v>763</v>
      </c>
      <c r="D29" s="5">
        <v>59.75</v>
      </c>
      <c r="E29" s="5">
        <f>Таблица1[[#This Row],[pressure]]/760*101325</f>
        <v>101724.96710526316</v>
      </c>
      <c r="F29" s="7">
        <f>Таблица1[[#This Row],[humidity]]/100</f>
        <v>0.59750000000000003</v>
      </c>
      <c r="G29" s="5" cm="1">
        <f t="array" ref="G29">wet_bulb_temp(Таблица1[[#This Row],[temp]],Таблица1[[#This Row],[humidity_ratio]],Таблица1[[#This Row],[pressure_kpa]])</f>
        <v>7.9963900339701794</v>
      </c>
      <c r="H29" s="5" cm="1">
        <f t="array" ref="H29">wet_bulb_temp_simple(Таблица1[[#This Row],[temp]],Таблица1[[#This Row],[humidity]])</f>
        <v>7.6387312286264732</v>
      </c>
      <c r="I29" s="5">
        <f>IF(Таблица1[[#This Row],[wet_bulb_thermo]]+$F$1&lt;20,20,Таблица1[[#This Row],[wet_bulb_thermo]]+$F$1)</f>
        <v>20</v>
      </c>
      <c r="J29" s="9">
        <f>Таблица1[[#This Row],[Tcold]]+$I$1</f>
        <v>30</v>
      </c>
      <c r="K29" s="12" cm="1">
        <f t="array" ref="K29">evaporation(Таблица1[[#This Row],[Thot]],Таблица1[[#This Row],[Tcold]],Таблица1[[#This Row],[temp]],Таблица1[[#This Row],[humidity_ratio]],Таблица1[[#This Row],[pressure_kpa]])/$I$1</f>
        <v>1.2607086199141442E-3</v>
      </c>
      <c r="L29">
        <f>MONTH(Таблица1[[#This Row],[date]])</f>
        <v>1</v>
      </c>
      <c r="M29" t="str">
        <f>IF(AND(Таблица1[[#This Row],[month]]&gt;3, Таблица1[[#This Row],[month]]&lt;11),"SUMMER","WINTER")</f>
        <v>WINTER</v>
      </c>
    </row>
    <row r="30" spans="1:13" x14ac:dyDescent="0.25">
      <c r="A30" s="2">
        <v>44210</v>
      </c>
      <c r="B30" s="5">
        <v>12.875</v>
      </c>
      <c r="C30" s="5">
        <v>760.27499999999998</v>
      </c>
      <c r="D30" s="5">
        <v>65.125</v>
      </c>
      <c r="E30" s="5">
        <f>Таблица1[[#This Row],[pressure]]/760*101325</f>
        <v>101361.66365131579</v>
      </c>
      <c r="F30" s="7">
        <f>Таблица1[[#This Row],[humidity]]/100</f>
        <v>0.65125</v>
      </c>
      <c r="G30" s="5" cm="1">
        <f t="array" ref="G30">wet_bulb_temp(Таблица1[[#This Row],[temp]],Таблица1[[#This Row],[humidity_ratio]],Таблица1[[#This Row],[pressure_kpa]])</f>
        <v>9.4768897007706698</v>
      </c>
      <c r="H30" s="5" cm="1">
        <f t="array" ref="H30">wet_bulb_temp_simple(Таблица1[[#This Row],[temp]],Таблица1[[#This Row],[humidity]])</f>
        <v>9.1369628899543507</v>
      </c>
      <c r="I30" s="5">
        <f>IF(Таблица1[[#This Row],[wet_bulb_thermo]]+$F$1&lt;20,20,Таблица1[[#This Row],[wet_bulb_thermo]]+$F$1)</f>
        <v>20</v>
      </c>
      <c r="J30" s="9">
        <f>Таблица1[[#This Row],[Tcold]]+$I$1</f>
        <v>30</v>
      </c>
      <c r="K30" s="12" cm="1">
        <f t="array" ref="K30">evaporation(Таблица1[[#This Row],[Thot]],Таблица1[[#This Row],[Tcold]],Таблица1[[#This Row],[temp]],Таблица1[[#This Row],[humidity_ratio]],Таблица1[[#This Row],[pressure_kpa]])/$I$1</f>
        <v>1.2680936497963364E-3</v>
      </c>
      <c r="L30">
        <f>MONTH(Таблица1[[#This Row],[date]])</f>
        <v>1</v>
      </c>
      <c r="M30" t="str">
        <f>IF(AND(Таблица1[[#This Row],[month]]&gt;3, Таблица1[[#This Row],[month]]&lt;11),"SUMMER","WINTER")</f>
        <v>WINTER</v>
      </c>
    </row>
    <row r="31" spans="1:13" x14ac:dyDescent="0.25">
      <c r="A31" s="2">
        <v>44211</v>
      </c>
      <c r="B31" s="5">
        <v>13.887499999999999</v>
      </c>
      <c r="C31" s="5">
        <v>759.05</v>
      </c>
      <c r="D31" s="5">
        <v>63.125</v>
      </c>
      <c r="E31" s="5">
        <f>Таблица1[[#This Row],[pressure]]/760*101325</f>
        <v>101198.34374999999</v>
      </c>
      <c r="F31" s="7">
        <f>Таблица1[[#This Row],[humidity]]/100</f>
        <v>0.63124999999999998</v>
      </c>
      <c r="G31" s="5" cm="1">
        <f t="array" ref="G31">wet_bulb_temp(Таблица1[[#This Row],[temp]],Таблица1[[#This Row],[humidity_ratio]],Таблица1[[#This Row],[pressure_kpa]])</f>
        <v>10.166337677733059</v>
      </c>
      <c r="H31" s="5" cm="1">
        <f t="array" ref="H31">wet_bulb_temp_simple(Таблица1[[#This Row],[temp]],Таблица1[[#This Row],[humidity]])</f>
        <v>9.8509065321655669</v>
      </c>
      <c r="I31" s="5">
        <f>IF(Таблица1[[#This Row],[wet_bulb_thermo]]+$F$1&lt;20,20,Таблица1[[#This Row],[wet_bulb_thermo]]+$F$1)</f>
        <v>20.166337677733061</v>
      </c>
      <c r="J31" s="9">
        <f>Таблица1[[#This Row],[Tcold]]+$I$1</f>
        <v>30.166337677733061</v>
      </c>
      <c r="K31" s="12" cm="1">
        <f t="array" ref="K31">evaporation(Таблица1[[#This Row],[Thot]],Таблица1[[#This Row],[Tcold]],Таблица1[[#This Row],[temp]],Таблица1[[#This Row],[humidity_ratio]],Таблица1[[#This Row],[pressure_kpa]])/$I$1</f>
        <v>1.2850806532593256E-3</v>
      </c>
      <c r="L31">
        <f>MONTH(Таблица1[[#This Row],[date]])</f>
        <v>1</v>
      </c>
      <c r="M31" t="str">
        <f>IF(AND(Таблица1[[#This Row],[month]]&gt;3, Таблица1[[#This Row],[month]]&lt;11),"SUMMER","WINTER")</f>
        <v>WINTER</v>
      </c>
    </row>
    <row r="32" spans="1:13" x14ac:dyDescent="0.25">
      <c r="A32" s="2">
        <v>44212</v>
      </c>
      <c r="B32" s="5">
        <v>14.2875</v>
      </c>
      <c r="C32" s="5">
        <v>758.58749999999998</v>
      </c>
      <c r="D32" s="5">
        <v>60.875</v>
      </c>
      <c r="E32" s="5">
        <f>Таблица1[[#This Row],[pressure]]/760*101325</f>
        <v>101136.68215460527</v>
      </c>
      <c r="F32" s="7">
        <f>Таблица1[[#This Row],[humidity]]/100</f>
        <v>0.60875000000000001</v>
      </c>
      <c r="G32" s="5" cm="1">
        <f t="array" ref="G32">wet_bulb_temp(Таблица1[[#This Row],[temp]],Таблица1[[#This Row],[humidity_ratio]],Таблица1[[#This Row],[pressure_kpa]])</f>
        <v>10.274176721645595</v>
      </c>
      <c r="H32" s="5" cm="1">
        <f t="array" ref="H32">wet_bulb_temp_simple(Таблица1[[#This Row],[temp]],Таблица1[[#This Row],[humidity]])</f>
        <v>9.97122018589174</v>
      </c>
      <c r="I32" s="5">
        <f>IF(Таблица1[[#This Row],[wet_bulb_thermo]]+$F$1&lt;20,20,Таблица1[[#This Row],[wet_bulb_thermo]]+$F$1)</f>
        <v>20.274176721645595</v>
      </c>
      <c r="J32" s="9">
        <f>Таблица1[[#This Row],[Tcold]]+$I$1</f>
        <v>30.274176721645595</v>
      </c>
      <c r="K32" s="12" cm="1">
        <f t="array" ref="K32">evaporation(Таблица1[[#This Row],[Thot]],Таблица1[[#This Row],[Tcold]],Таблица1[[#This Row],[temp]],Таблица1[[#This Row],[humidity_ratio]],Таблица1[[#This Row],[pressure_kpa]])/$I$1</f>
        <v>1.2941317482041428E-3</v>
      </c>
      <c r="L32">
        <f>MONTH(Таблица1[[#This Row],[date]])</f>
        <v>1</v>
      </c>
      <c r="M32" t="str">
        <f>IF(AND(Таблица1[[#This Row],[month]]&gt;3, Таблица1[[#This Row],[month]]&lt;11),"SUMMER","WINTER")</f>
        <v>WINTER</v>
      </c>
    </row>
    <row r="33" spans="1:13" x14ac:dyDescent="0.25">
      <c r="A33" s="2">
        <v>44213</v>
      </c>
      <c r="B33" s="5">
        <v>14.125</v>
      </c>
      <c r="C33" s="5">
        <v>757.15</v>
      </c>
      <c r="D33" s="5">
        <v>76.5</v>
      </c>
      <c r="E33" s="5">
        <f>Таблица1[[#This Row],[pressure]]/760*101325</f>
        <v>100945.03125</v>
      </c>
      <c r="F33" s="7">
        <f>Таблица1[[#This Row],[humidity]]/100</f>
        <v>0.76500000000000001</v>
      </c>
      <c r="G33" s="5" cm="1">
        <f t="array" ref="G33">wet_bulb_temp(Таблица1[[#This Row],[temp]],Таблица1[[#This Row],[humidity_ratio]],Таблица1[[#This Row],[pressure_kpa]])</f>
        <v>11.806825982012713</v>
      </c>
      <c r="H33" s="5" cm="1">
        <f t="array" ref="H33">wet_bulb_temp_simple(Таблица1[[#This Row],[temp]],Таблица1[[#This Row],[humidity]])</f>
        <v>11.509211553696346</v>
      </c>
      <c r="I33" s="5">
        <f>IF(Таблица1[[#This Row],[wet_bulb_thermo]]+$F$1&lt;20,20,Таблица1[[#This Row],[wet_bulb_thermo]]+$F$1)</f>
        <v>21.806825982012711</v>
      </c>
      <c r="J33" s="9">
        <f>Таблица1[[#This Row],[Tcold]]+$I$1</f>
        <v>31.806825982012711</v>
      </c>
      <c r="K33" s="12" cm="1">
        <f t="array" ref="K33">evaporation(Таблица1[[#This Row],[Thot]],Таблица1[[#This Row],[Tcold]],Таблица1[[#This Row],[temp]],Таблица1[[#This Row],[humidity_ratio]],Таблица1[[#This Row],[pressure_kpa]])/$I$1</f>
        <v>1.2802984162864441E-3</v>
      </c>
      <c r="L33">
        <f>MONTH(Таблица1[[#This Row],[date]])</f>
        <v>1</v>
      </c>
      <c r="M33" t="str">
        <f>IF(AND(Таблица1[[#This Row],[month]]&gt;3, Таблица1[[#This Row],[month]]&lt;11),"SUMMER","WINTER")</f>
        <v>WINTER</v>
      </c>
    </row>
    <row r="34" spans="1:13" x14ac:dyDescent="0.25">
      <c r="A34" s="2">
        <v>44214</v>
      </c>
      <c r="B34" s="5">
        <v>14.775</v>
      </c>
      <c r="C34" s="5">
        <v>760.11249999999995</v>
      </c>
      <c r="D34" s="5">
        <v>75</v>
      </c>
      <c r="E34" s="5">
        <f>Таблица1[[#This Row],[pressure]]/760*101325</f>
        <v>101339.99876644736</v>
      </c>
      <c r="F34" s="7">
        <f>Таблица1[[#This Row],[humidity]]/100</f>
        <v>0.75</v>
      </c>
      <c r="G34" s="5" cm="1">
        <f t="array" ref="G34">wet_bulb_temp(Таблица1[[#This Row],[temp]],Таблица1[[#This Row],[humidity_ratio]],Таблица1[[#This Row],[pressure_kpa]])</f>
        <v>12.216866173278616</v>
      </c>
      <c r="H34" s="5" cm="1">
        <f t="array" ref="H34">wet_bulb_temp_simple(Таблица1[[#This Row],[temp]],Таблица1[[#This Row],[humidity]])</f>
        <v>11.961979208533812</v>
      </c>
      <c r="I34" s="5">
        <f>IF(Таблица1[[#This Row],[wet_bulb_thermo]]+$F$1&lt;20,20,Таблица1[[#This Row],[wet_bulb_thermo]]+$F$1)</f>
        <v>22.216866173278618</v>
      </c>
      <c r="J34" s="9">
        <f>Таблица1[[#This Row],[Tcold]]+$I$1</f>
        <v>32.216866173278618</v>
      </c>
      <c r="K34" s="12" cm="1">
        <f t="array" ref="K34">evaporation(Таблица1[[#This Row],[Thot]],Таблица1[[#This Row],[Tcold]],Таблица1[[#This Row],[temp]],Таблица1[[#This Row],[humidity_ratio]],Таблица1[[#This Row],[pressure_kpa]])/$I$1</f>
        <v>1.290832648302134E-3</v>
      </c>
      <c r="L34">
        <f>MONTH(Таблица1[[#This Row],[date]])</f>
        <v>1</v>
      </c>
      <c r="M34" t="str">
        <f>IF(AND(Таблица1[[#This Row],[month]]&gt;3, Таблица1[[#This Row],[month]]&lt;11),"SUMMER","WINTER")</f>
        <v>WINTER</v>
      </c>
    </row>
    <row r="35" spans="1:13" x14ac:dyDescent="0.25">
      <c r="A35" s="2">
        <v>44215</v>
      </c>
      <c r="B35" s="5">
        <v>15.475</v>
      </c>
      <c r="C35" s="5">
        <v>762.51250000000005</v>
      </c>
      <c r="D35" s="5">
        <v>63.75</v>
      </c>
      <c r="E35" s="5">
        <f>Таблица1[[#This Row],[pressure]]/760*101325</f>
        <v>101659.97245065789</v>
      </c>
      <c r="F35" s="7">
        <f>Таблица1[[#This Row],[humidity]]/100</f>
        <v>0.63749999999999996</v>
      </c>
      <c r="G35" s="5" cm="1">
        <f t="array" ref="G35">wet_bulb_temp(Таблица1[[#This Row],[temp]],Таблица1[[#This Row],[humidity_ratio]],Таблица1[[#This Row],[pressure_kpa]])</f>
        <v>11.590096282396583</v>
      </c>
      <c r="H35" s="5" cm="1">
        <f t="array" ref="H35">wet_bulb_temp_simple(Таблица1[[#This Row],[temp]],Таблица1[[#This Row],[humidity]])</f>
        <v>11.364802872932499</v>
      </c>
      <c r="I35" s="5">
        <f>IF(Таблица1[[#This Row],[wet_bulb_thermo]]+$F$1&lt;20,20,Таблица1[[#This Row],[wet_bulb_thermo]]+$F$1)</f>
        <v>21.590096282396583</v>
      </c>
      <c r="J35" s="9">
        <f>Таблица1[[#This Row],[Tcold]]+$I$1</f>
        <v>31.590096282396583</v>
      </c>
      <c r="K35" s="12" cm="1">
        <f t="array" ref="K35">evaporation(Таблица1[[#This Row],[Thot]],Таблица1[[#This Row],[Tcold]],Таблица1[[#This Row],[temp]],Таблица1[[#This Row],[humidity_ratio]],Таблица1[[#This Row],[pressure_kpa]])/$I$1</f>
        <v>1.3096690686544674E-3</v>
      </c>
      <c r="L35">
        <f>MONTH(Таблица1[[#This Row],[date]])</f>
        <v>1</v>
      </c>
      <c r="M35" t="str">
        <f>IF(AND(Таблица1[[#This Row],[month]]&gt;3, Таблица1[[#This Row],[month]]&lt;11),"SUMMER","WINTER")</f>
        <v>WINTER</v>
      </c>
    </row>
    <row r="36" spans="1:13" x14ac:dyDescent="0.25">
      <c r="A36" s="2">
        <v>44216</v>
      </c>
      <c r="B36" s="5">
        <v>15.775</v>
      </c>
      <c r="C36" s="5">
        <v>760.17499999999995</v>
      </c>
      <c r="D36" s="5">
        <v>54.5</v>
      </c>
      <c r="E36" s="5">
        <f>Таблица1[[#This Row],[pressure]]/760*101325</f>
        <v>101348.33141447368</v>
      </c>
      <c r="F36" s="7">
        <f>Таблица1[[#This Row],[humidity]]/100</f>
        <v>0.54500000000000004</v>
      </c>
      <c r="G36" s="5" cm="1">
        <f t="array" ref="G36">wet_bulb_temp(Таблица1[[#This Row],[temp]],Таблица1[[#This Row],[humidity_ratio]],Таблица1[[#This Row],[pressure_kpa]])</f>
        <v>10.800368785796225</v>
      </c>
      <c r="H36" s="5" cm="1">
        <f t="array" ref="H36">wet_bulb_temp_simple(Таблица1[[#This Row],[temp]],Таблица1[[#This Row],[humidity]])</f>
        <v>10.585646494088207</v>
      </c>
      <c r="I36" s="5">
        <f>IF(Таблица1[[#This Row],[wet_bulb_thermo]]+$F$1&lt;20,20,Таблица1[[#This Row],[wet_bulb_thermo]]+$F$1)</f>
        <v>20.800368785796223</v>
      </c>
      <c r="J36" s="9">
        <f>Таблица1[[#This Row],[Tcold]]+$I$1</f>
        <v>30.800368785796223</v>
      </c>
      <c r="K36" s="12" cm="1">
        <f t="array" ref="K36">evaporation(Таблица1[[#This Row],[Thot]],Таблица1[[#This Row],[Tcold]],Таблица1[[#This Row],[temp]],Таблица1[[#This Row],[humidity_ratio]],Таблица1[[#This Row],[pressure_kpa]])/$I$1</f>
        <v>1.3243844935005337E-3</v>
      </c>
      <c r="L36">
        <f>MONTH(Таблица1[[#This Row],[date]])</f>
        <v>1</v>
      </c>
      <c r="M36" t="str">
        <f>IF(AND(Таблица1[[#This Row],[month]]&gt;3, Таблица1[[#This Row],[month]]&lt;11),"SUMMER","WINTER")</f>
        <v>WINTER</v>
      </c>
    </row>
    <row r="37" spans="1:13" x14ac:dyDescent="0.25">
      <c r="A37" s="2">
        <v>44217</v>
      </c>
      <c r="B37" s="5">
        <v>12.887499999999999</v>
      </c>
      <c r="C37" s="5">
        <v>764.8</v>
      </c>
      <c r="D37" s="5">
        <v>57.625</v>
      </c>
      <c r="E37" s="5">
        <f>Таблица1[[#This Row],[pressure]]/760*101325</f>
        <v>101964.94736842104</v>
      </c>
      <c r="F37" s="7">
        <f>Таблица1[[#This Row],[humidity]]/100</f>
        <v>0.57625000000000004</v>
      </c>
      <c r="G37" s="5" cm="1">
        <f t="array" ref="G37">wet_bulb_temp(Таблица1[[#This Row],[temp]],Таблица1[[#This Row],[humidity_ratio]],Таблица1[[#This Row],[pressure_kpa]])</f>
        <v>8.674431787754477</v>
      </c>
      <c r="H37" s="5" cm="1">
        <f t="array" ref="H37">wet_bulb_temp_simple(Таблица1[[#This Row],[temp]],Таблица1[[#This Row],[humidity]])</f>
        <v>8.3730524956258225</v>
      </c>
      <c r="I37" s="5">
        <f>IF(Таблица1[[#This Row],[wet_bulb_thermo]]+$F$1&lt;20,20,Таблица1[[#This Row],[wet_bulb_thermo]]+$F$1)</f>
        <v>20</v>
      </c>
      <c r="J37" s="9">
        <f>Таблица1[[#This Row],[Tcold]]+$I$1</f>
        <v>30</v>
      </c>
      <c r="K37" s="12" cm="1">
        <f t="array" ref="K37">evaporation(Таблица1[[#This Row],[Thot]],Таблица1[[#This Row],[Tcold]],Таблица1[[#This Row],[temp]],Таблица1[[#This Row],[humidity_ratio]],Таблица1[[#This Row],[pressure_kpa]])/$I$1</f>
        <v>1.2762115534616595E-3</v>
      </c>
      <c r="L37">
        <f>MONTH(Таблица1[[#This Row],[date]])</f>
        <v>1</v>
      </c>
      <c r="M37" t="str">
        <f>IF(AND(Таблица1[[#This Row],[month]]&gt;3, Таблица1[[#This Row],[month]]&lt;11),"SUMMER","WINTER")</f>
        <v>WINTER</v>
      </c>
    </row>
    <row r="38" spans="1:13" x14ac:dyDescent="0.25">
      <c r="A38" s="2">
        <v>44218</v>
      </c>
      <c r="B38" s="5">
        <v>9.9749999999999996</v>
      </c>
      <c r="C38" s="5">
        <v>766.03750000000002</v>
      </c>
      <c r="D38" s="5">
        <v>54.125</v>
      </c>
      <c r="E38" s="5">
        <f>Таблица1[[#This Row],[pressure]]/760*101325</f>
        <v>102129.93379934211</v>
      </c>
      <c r="F38" s="7">
        <f>Таблица1[[#This Row],[humidity]]/100</f>
        <v>0.54125000000000001</v>
      </c>
      <c r="G38" s="5" cm="1">
        <f t="array" ref="G38">wet_bulb_temp(Таблица1[[#This Row],[temp]],Таблица1[[#This Row],[humidity_ratio]],Таблица1[[#This Row],[pressure_kpa]])</f>
        <v>5.8552829667130446</v>
      </c>
      <c r="H38" s="5" cm="1">
        <f t="array" ref="H38">wet_bulb_temp_simple(Таблица1[[#This Row],[temp]],Таблица1[[#This Row],[humidity]])</f>
        <v>5.4580696286607644</v>
      </c>
      <c r="I38" s="5">
        <f>IF(Таблица1[[#This Row],[wet_bulb_thermo]]+$F$1&lt;20,20,Таблица1[[#This Row],[wet_bulb_thermo]]+$F$1)</f>
        <v>20</v>
      </c>
      <c r="J38" s="9">
        <f>Таблица1[[#This Row],[Tcold]]+$I$1</f>
        <v>30</v>
      </c>
      <c r="K38" s="12" cm="1">
        <f t="array" ref="K38">evaporation(Таблица1[[#This Row],[Thot]],Таблица1[[#This Row],[Tcold]],Таблица1[[#This Row],[temp]],Таблица1[[#This Row],[humidity_ratio]],Таблица1[[#This Row],[pressure_kpa]])/$I$1</f>
        <v>1.2427557899173903E-3</v>
      </c>
      <c r="L38">
        <f>MONTH(Таблица1[[#This Row],[date]])</f>
        <v>1</v>
      </c>
      <c r="M38" t="str">
        <f>IF(AND(Таблица1[[#This Row],[month]]&gt;3, Таблица1[[#This Row],[month]]&lt;11),"SUMMER","WINTER")</f>
        <v>WINTER</v>
      </c>
    </row>
    <row r="39" spans="1:13" x14ac:dyDescent="0.25">
      <c r="A39" s="2">
        <v>44219</v>
      </c>
      <c r="B39" s="5">
        <v>10.925000000000001</v>
      </c>
      <c r="C39" s="5">
        <v>765.21249999999998</v>
      </c>
      <c r="D39" s="5">
        <v>52</v>
      </c>
      <c r="E39" s="5">
        <f>Таблица1[[#This Row],[pressure]]/760*101325</f>
        <v>102019.94284539473</v>
      </c>
      <c r="F39" s="7">
        <f>Таблица1[[#This Row],[humidity]]/100</f>
        <v>0.52</v>
      </c>
      <c r="G39" s="5" cm="1">
        <f t="array" ref="G39">wet_bulb_temp(Таблица1[[#This Row],[temp]],Таблица1[[#This Row],[humidity_ratio]],Таблица1[[#This Row],[pressure_kpa]])</f>
        <v>6.4511928490872394</v>
      </c>
      <c r="H39" s="5" cm="1">
        <f t="array" ref="H39">wet_bulb_temp_simple(Таблица1[[#This Row],[temp]],Таблица1[[#This Row],[humidity]])</f>
        <v>6.0876760686486939</v>
      </c>
      <c r="I39" s="5">
        <f>IF(Таблица1[[#This Row],[wet_bulb_thermo]]+$F$1&lt;20,20,Таблица1[[#This Row],[wet_bulb_thermo]]+$F$1)</f>
        <v>20</v>
      </c>
      <c r="J39" s="9">
        <f>Таблица1[[#This Row],[Tcold]]+$I$1</f>
        <v>30</v>
      </c>
      <c r="K39" s="12" cm="1">
        <f t="array" ref="K39">evaporation(Таблица1[[#This Row],[Thot]],Таблица1[[#This Row],[Tcold]],Таблица1[[#This Row],[temp]],Таблица1[[#This Row],[humidity_ratio]],Таблица1[[#This Row],[pressure_kpa]])/$I$1</f>
        <v>1.2573564287494674E-3</v>
      </c>
      <c r="L39">
        <f>MONTH(Таблица1[[#This Row],[date]])</f>
        <v>1</v>
      </c>
      <c r="M39" t="str">
        <f>IF(AND(Таблица1[[#This Row],[month]]&gt;3, Таблица1[[#This Row],[month]]&lt;11),"SUMMER","WINTER")</f>
        <v>WINTER</v>
      </c>
    </row>
    <row r="40" spans="1:13" x14ac:dyDescent="0.25">
      <c r="A40" s="2">
        <v>44220</v>
      </c>
      <c r="B40" s="5">
        <v>11.4</v>
      </c>
      <c r="C40" s="5">
        <v>764.92499999999995</v>
      </c>
      <c r="D40" s="5">
        <v>48.125</v>
      </c>
      <c r="E40" s="5">
        <f>Таблица1[[#This Row],[pressure]]/760*101325</f>
        <v>101981.61266447368</v>
      </c>
      <c r="F40" s="7">
        <f>Таблица1[[#This Row],[humidity]]/100</f>
        <v>0.48125000000000001</v>
      </c>
      <c r="G40" s="5" cm="1">
        <f t="array" ref="G40">wet_bulb_temp(Таблица1[[#This Row],[temp]],Таблица1[[#This Row],[humidity_ratio]],Таблица1[[#This Row],[pressure_kpa]])</f>
        <v>6.4570834239486228</v>
      </c>
      <c r="H40" s="5" cm="1">
        <f t="array" ref="H40">wet_bulb_temp_simple(Таблица1[[#This Row],[temp]],Таблица1[[#This Row],[humidity]])</f>
        <v>6.1221538250069134</v>
      </c>
      <c r="I40" s="5">
        <f>IF(Таблица1[[#This Row],[wet_bulb_thermo]]+$F$1&lt;20,20,Таблица1[[#This Row],[wet_bulb_thermo]]+$F$1)</f>
        <v>20</v>
      </c>
      <c r="J40" s="9">
        <f>Таблица1[[#This Row],[Tcold]]+$I$1</f>
        <v>30</v>
      </c>
      <c r="K40" s="12" cm="1">
        <f t="array" ref="K40">evaporation(Таблица1[[#This Row],[Thot]],Таблица1[[#This Row],[Tcold]],Таблица1[[#This Row],[temp]],Таблица1[[#This Row],[humidity_ratio]],Таблица1[[#This Row],[pressure_kpa]])/$I$1</f>
        <v>1.2679564370049992E-3</v>
      </c>
      <c r="L40">
        <f>MONTH(Таблица1[[#This Row],[date]])</f>
        <v>1</v>
      </c>
      <c r="M40" t="str">
        <f>IF(AND(Таблица1[[#This Row],[month]]&gt;3, Таблица1[[#This Row],[month]]&lt;11),"SUMMER","WINTER")</f>
        <v>WINTER</v>
      </c>
    </row>
    <row r="41" spans="1:13" x14ac:dyDescent="0.25">
      <c r="A41" s="2">
        <v>44221</v>
      </c>
      <c r="B41" s="5">
        <v>12.9125</v>
      </c>
      <c r="C41" s="5">
        <v>764.16250000000002</v>
      </c>
      <c r="D41" s="5">
        <v>47.125</v>
      </c>
      <c r="E41" s="5">
        <f>Таблица1[[#This Row],[pressure]]/760*101325</f>
        <v>101879.95435855264</v>
      </c>
      <c r="F41" s="7">
        <f>Таблица1[[#This Row],[humidity]]/100</f>
        <v>0.47125</v>
      </c>
      <c r="G41" s="5" cm="1">
        <f t="array" ref="G41">wet_bulb_temp(Таблица1[[#This Row],[temp]],Таблица1[[#This Row],[humidity_ratio]],Таблица1[[#This Row],[pressure_kpa]])</f>
        <v>7.5836610594425542</v>
      </c>
      <c r="H41" s="5" cm="1">
        <f t="array" ref="H41">wet_bulb_temp_simple(Таблица1[[#This Row],[temp]],Таблица1[[#This Row],[humidity]])</f>
        <v>7.306146281644561</v>
      </c>
      <c r="I41" s="5">
        <f>IF(Таблица1[[#This Row],[wet_bulb_thermo]]+$F$1&lt;20,20,Таблица1[[#This Row],[wet_bulb_thermo]]+$F$1)</f>
        <v>20</v>
      </c>
      <c r="J41" s="9">
        <f>Таблица1[[#This Row],[Tcold]]+$I$1</f>
        <v>30</v>
      </c>
      <c r="K41" s="12" cm="1">
        <f t="array" ref="K41">evaporation(Таблица1[[#This Row],[Thot]],Таблица1[[#This Row],[Tcold]],Таблица1[[#This Row],[temp]],Таблица1[[#This Row],[humidity_ratio]],Таблица1[[#This Row],[pressure_kpa]])/$I$1</f>
        <v>1.2898938695847285E-3</v>
      </c>
      <c r="L41">
        <f>MONTH(Таблица1[[#This Row],[date]])</f>
        <v>1</v>
      </c>
      <c r="M41" t="str">
        <f>IF(AND(Таблица1[[#This Row],[month]]&gt;3, Таблица1[[#This Row],[month]]&lt;11),"SUMMER","WINTER")</f>
        <v>WINTER</v>
      </c>
    </row>
    <row r="42" spans="1:13" x14ac:dyDescent="0.25">
      <c r="A42" s="2">
        <v>44222</v>
      </c>
      <c r="B42" s="5">
        <v>14.6</v>
      </c>
      <c r="C42" s="5">
        <v>763.6</v>
      </c>
      <c r="D42" s="5">
        <v>48.375</v>
      </c>
      <c r="E42" s="5">
        <f>Таблица1[[#This Row],[pressure]]/760*101325</f>
        <v>101804.96052631579</v>
      </c>
      <c r="F42" s="7">
        <f>Таблица1[[#This Row],[humidity]]/100</f>
        <v>0.48375000000000001</v>
      </c>
      <c r="G42" s="5" cm="1">
        <f t="array" ref="G42">wet_bulb_temp(Таблица1[[#This Row],[temp]],Таблица1[[#This Row],[humidity_ratio]],Таблица1[[#This Row],[pressure_kpa]])</f>
        <v>9.0914788156708468</v>
      </c>
      <c r="H42" s="5" cm="1">
        <f t="array" ref="H42">wet_bulb_temp_simple(Таблица1[[#This Row],[temp]],Таблица1[[#This Row],[humidity]])</f>
        <v>8.8756368992185255</v>
      </c>
      <c r="I42" s="5">
        <f>IF(Таблица1[[#This Row],[wet_bulb_thermo]]+$F$1&lt;20,20,Таблица1[[#This Row],[wet_bulb_thermo]]+$F$1)</f>
        <v>20</v>
      </c>
      <c r="J42" s="9">
        <f>Таблица1[[#This Row],[Tcold]]+$I$1</f>
        <v>30</v>
      </c>
      <c r="K42" s="12" cm="1">
        <f t="array" ref="K42">evaporation(Таблица1[[#This Row],[Thot]],Таблица1[[#This Row],[Tcold]],Таблица1[[#This Row],[temp]],Таблица1[[#This Row],[humidity_ratio]],Таблица1[[#This Row],[pressure_kpa]])/$I$1</f>
        <v>1.3124896136621354E-3</v>
      </c>
      <c r="L42">
        <f>MONTH(Таблица1[[#This Row],[date]])</f>
        <v>1</v>
      </c>
      <c r="M42" t="str">
        <f>IF(AND(Таблица1[[#This Row],[month]]&gt;3, Таблица1[[#This Row],[month]]&lt;11),"SUMMER","WINTER")</f>
        <v>WINTER</v>
      </c>
    </row>
    <row r="43" spans="1:13" x14ac:dyDescent="0.25">
      <c r="A43" s="2">
        <v>44223</v>
      </c>
      <c r="B43" s="5">
        <v>15.237500000000001</v>
      </c>
      <c r="C43" s="5">
        <v>762.63749999999993</v>
      </c>
      <c r="D43" s="5">
        <v>49.5</v>
      </c>
      <c r="E43" s="5">
        <f>Таблица1[[#This Row],[pressure]]/760*101325</f>
        <v>101676.6377467105</v>
      </c>
      <c r="F43" s="7">
        <f>Таблица1[[#This Row],[humidity]]/100</f>
        <v>0.495</v>
      </c>
      <c r="G43" s="5" cm="1">
        <f t="array" ref="G43">wet_bulb_temp(Таблица1[[#This Row],[temp]],Таблица1[[#This Row],[humidity_ratio]],Таблица1[[#This Row],[pressure_kpa]])</f>
        <v>9.7473779240583145</v>
      </c>
      <c r="H43" s="5" cm="1">
        <f t="array" ref="H43">wet_bulb_temp_simple(Таблица1[[#This Row],[temp]],Таблица1[[#This Row],[humidity]])</f>
        <v>9.5476779641927365</v>
      </c>
      <c r="I43" s="5">
        <f>IF(Таблица1[[#This Row],[wet_bulb_thermo]]+$F$1&lt;20,20,Таблица1[[#This Row],[wet_bulb_thermo]]+$F$1)</f>
        <v>20</v>
      </c>
      <c r="J43" s="9">
        <f>Таблица1[[#This Row],[Tcold]]+$I$1</f>
        <v>30</v>
      </c>
      <c r="K43" s="12" cm="1">
        <f t="array" ref="K43">evaporation(Таблица1[[#This Row],[Thot]],Таблица1[[#This Row],[Tcold]],Таблица1[[#This Row],[temp]],Таблица1[[#This Row],[humidity_ratio]],Таблица1[[#This Row],[pressure_kpa]])/$I$1</f>
        <v>1.3206928759494658E-3</v>
      </c>
      <c r="L43">
        <f>MONTH(Таблица1[[#This Row],[date]])</f>
        <v>1</v>
      </c>
      <c r="M43" t="str">
        <f>IF(AND(Таблица1[[#This Row],[month]]&gt;3, Таблица1[[#This Row],[month]]&lt;11),"SUMMER","WINTER")</f>
        <v>WINTER</v>
      </c>
    </row>
    <row r="44" spans="1:13" x14ac:dyDescent="0.25">
      <c r="A44" s="2">
        <v>44224</v>
      </c>
      <c r="B44" s="5">
        <v>15.737500000000001</v>
      </c>
      <c r="C44" s="5">
        <v>761.1</v>
      </c>
      <c r="D44" s="5">
        <v>53.75</v>
      </c>
      <c r="E44" s="5">
        <f>Таблица1[[#This Row],[pressure]]/760*101325</f>
        <v>101471.65460526317</v>
      </c>
      <c r="F44" s="7">
        <f>Таблица1[[#This Row],[humidity]]/100</f>
        <v>0.53749999999999998</v>
      </c>
      <c r="G44" s="5" cm="1">
        <f t="array" ref="G44">wet_bulb_temp(Таблица1[[#This Row],[temp]],Таблица1[[#This Row],[humidity_ratio]],Таблица1[[#This Row],[pressure_kpa]])</f>
        <v>10.672674778172755</v>
      </c>
      <c r="H44" s="5" cm="1">
        <f t="array" ref="H44">wet_bulb_temp_simple(Таблица1[[#This Row],[temp]],Таблица1[[#This Row],[humidity]])</f>
        <v>10.466748317248706</v>
      </c>
      <c r="I44" s="5">
        <f>IF(Таблица1[[#This Row],[wet_bulb_thermo]]+$F$1&lt;20,20,Таблица1[[#This Row],[wet_bulb_thermo]]+$F$1)</f>
        <v>20.672674778172755</v>
      </c>
      <c r="J44" s="9">
        <f>Таблица1[[#This Row],[Tcold]]+$I$1</f>
        <v>30.672674778172755</v>
      </c>
      <c r="K44" s="12" cm="1">
        <f t="array" ref="K44">evaporation(Таблица1[[#This Row],[Thot]],Таблица1[[#This Row],[Tcold]],Таблица1[[#This Row],[temp]],Таблица1[[#This Row],[humidity_ratio]],Таблица1[[#This Row],[pressure_kpa]])/$I$1</f>
        <v>1.3241951140808127E-3</v>
      </c>
      <c r="L44">
        <f>MONTH(Таблица1[[#This Row],[date]])</f>
        <v>1</v>
      </c>
      <c r="M44" t="str">
        <f>IF(AND(Таблица1[[#This Row],[month]]&gt;3, Таблица1[[#This Row],[month]]&lt;11),"SUMMER","WINTER")</f>
        <v>WINTER</v>
      </c>
    </row>
    <row r="45" spans="1:13" x14ac:dyDescent="0.25">
      <c r="A45" s="2">
        <v>44225</v>
      </c>
      <c r="B45" s="5">
        <v>17.375</v>
      </c>
      <c r="C45" s="5">
        <v>759.1875</v>
      </c>
      <c r="D45" s="5">
        <v>55.125</v>
      </c>
      <c r="E45" s="5">
        <f>Таблица1[[#This Row],[pressure]]/760*101325</f>
        <v>101216.67557565789</v>
      </c>
      <c r="F45" s="7">
        <f>Таблица1[[#This Row],[humidity]]/100</f>
        <v>0.55125000000000002</v>
      </c>
      <c r="G45" s="5" cm="1">
        <f t="array" ref="G45">wet_bulb_temp(Таблица1[[#This Row],[temp]],Таблица1[[#This Row],[humidity_ratio]],Таблица1[[#This Row],[pressure_kpa]])</f>
        <v>12.225299108600721</v>
      </c>
      <c r="H45" s="5" cm="1">
        <f t="array" ref="H45">wet_bulb_temp_simple(Таблица1[[#This Row],[temp]],Таблица1[[#This Row],[humidity]])</f>
        <v>12.066108681246945</v>
      </c>
      <c r="I45" s="5">
        <f>IF(Таблица1[[#This Row],[wet_bulb_thermo]]+$F$1&lt;20,20,Таблица1[[#This Row],[wet_bulb_thermo]]+$F$1)</f>
        <v>22.225299108600723</v>
      </c>
      <c r="J45" s="9">
        <f>Таблица1[[#This Row],[Tcold]]+$I$1</f>
        <v>32.225299108600723</v>
      </c>
      <c r="K45" s="12" cm="1">
        <f t="array" ref="K45">evaporation(Таблица1[[#This Row],[Thot]],Таблица1[[#This Row],[Tcold]],Таблица1[[#This Row],[temp]],Таблица1[[#This Row],[humidity_ratio]],Таблица1[[#This Row],[pressure_kpa]])/$I$1</f>
        <v>1.3493659143572977E-3</v>
      </c>
      <c r="L45">
        <f>MONTH(Таблица1[[#This Row],[date]])</f>
        <v>1</v>
      </c>
      <c r="M45" t="str">
        <f>IF(AND(Таблица1[[#This Row],[month]]&gt;3, Таблица1[[#This Row],[month]]&lt;11),"SUMMER","WINTER")</f>
        <v>WINTER</v>
      </c>
    </row>
    <row r="46" spans="1:13" x14ac:dyDescent="0.25">
      <c r="A46" s="2">
        <v>44226</v>
      </c>
      <c r="B46" s="5">
        <v>16.112500000000001</v>
      </c>
      <c r="C46" s="5">
        <v>760.98749999999995</v>
      </c>
      <c r="D46" s="5">
        <v>60.25</v>
      </c>
      <c r="E46" s="5">
        <f>Таблица1[[#This Row],[pressure]]/760*101325</f>
        <v>101456.65583881579</v>
      </c>
      <c r="F46" s="7">
        <f>Таблица1[[#This Row],[humidity]]/100</f>
        <v>0.60250000000000004</v>
      </c>
      <c r="G46" s="5" cm="1">
        <f t="array" ref="G46">wet_bulb_temp(Таблица1[[#This Row],[temp]],Таблица1[[#This Row],[humidity_ratio]],Таблица1[[#This Row],[pressure_kpa]])</f>
        <v>11.755359100043746</v>
      </c>
      <c r="H46" s="5" cm="1">
        <f t="array" ref="H46">wet_bulb_temp_simple(Таблица1[[#This Row],[temp]],Таблица1[[#This Row],[humidity]])</f>
        <v>11.545141930156817</v>
      </c>
      <c r="I46" s="5">
        <f>IF(Таблица1[[#This Row],[wet_bulb_thermo]]+$F$1&lt;20,20,Таблица1[[#This Row],[wet_bulb_thermo]]+$F$1)</f>
        <v>21.755359100043748</v>
      </c>
      <c r="J46" s="9">
        <f>Таблица1[[#This Row],[Tcold]]+$I$1</f>
        <v>31.755359100043748</v>
      </c>
      <c r="K46" s="12" cm="1">
        <f t="array" ref="K46">evaporation(Таблица1[[#This Row],[Thot]],Таблица1[[#This Row],[Tcold]],Таблица1[[#This Row],[temp]],Таблица1[[#This Row],[humidity_ratio]],Таблица1[[#This Row],[pressure_kpa]])/$I$1</f>
        <v>1.3237885383528541E-3</v>
      </c>
      <c r="L46">
        <f>MONTH(Таблица1[[#This Row],[date]])</f>
        <v>1</v>
      </c>
      <c r="M46" t="str">
        <f>IF(AND(Таблица1[[#This Row],[month]]&gt;3, Таблица1[[#This Row],[month]]&lt;11),"SUMMER","WINTER")</f>
        <v>WINTER</v>
      </c>
    </row>
    <row r="47" spans="1:13" x14ac:dyDescent="0.25">
      <c r="A47" s="2">
        <v>44227</v>
      </c>
      <c r="B47" s="5">
        <v>13.4</v>
      </c>
      <c r="C47" s="5">
        <v>763.77499999999998</v>
      </c>
      <c r="D47" s="5">
        <v>49.5</v>
      </c>
      <c r="E47" s="5">
        <f>Таблица1[[#This Row],[pressure]]/760*101325</f>
        <v>101828.29194078948</v>
      </c>
      <c r="F47" s="7">
        <f>Таблица1[[#This Row],[humidity]]/100</f>
        <v>0.495</v>
      </c>
      <c r="G47" s="5" cm="1">
        <f t="array" ref="G47">wet_bulb_temp(Таблица1[[#This Row],[temp]],Таблица1[[#This Row],[humidity_ratio]],Таблица1[[#This Row],[pressure_kpa]])</f>
        <v>8.2406461058568858</v>
      </c>
      <c r="H47" s="5" cm="1">
        <f t="array" ref="H47">wet_bulb_temp_simple(Таблица1[[#This Row],[temp]],Таблица1[[#This Row],[humidity]])</f>
        <v>7.9716793323472617</v>
      </c>
      <c r="I47" s="5">
        <f>IF(Таблица1[[#This Row],[wet_bulb_thermo]]+$F$1&lt;20,20,Таблица1[[#This Row],[wet_bulb_thermo]]+$F$1)</f>
        <v>20</v>
      </c>
      <c r="J47" s="9">
        <f>Таблица1[[#This Row],[Tcold]]+$I$1</f>
        <v>30</v>
      </c>
      <c r="K47" s="12" cm="1">
        <f t="array" ref="K47">evaporation(Таблица1[[#This Row],[Thot]],Таблица1[[#This Row],[Tcold]],Таблица1[[#This Row],[temp]],Таблица1[[#This Row],[humidity_ratio]],Таблица1[[#This Row],[pressure_kpa]])/$I$1</f>
        <v>1.2939023067642514E-3</v>
      </c>
      <c r="L47">
        <f>MONTH(Таблица1[[#This Row],[date]])</f>
        <v>1</v>
      </c>
      <c r="M47" t="str">
        <f>IF(AND(Таблица1[[#This Row],[month]]&gt;3, Таблица1[[#This Row],[month]]&lt;11),"SUMMER","WINTER")</f>
        <v>WINTER</v>
      </c>
    </row>
    <row r="48" spans="1:13" x14ac:dyDescent="0.25">
      <c r="A48" s="2">
        <v>44228</v>
      </c>
      <c r="B48" s="5">
        <v>14.975</v>
      </c>
      <c r="C48" s="5">
        <v>764.625</v>
      </c>
      <c r="D48" s="5">
        <v>45.75</v>
      </c>
      <c r="E48" s="5">
        <f>Таблица1[[#This Row],[pressure]]/760*101325</f>
        <v>101941.61595394737</v>
      </c>
      <c r="F48" s="7">
        <f>Таблица1[[#This Row],[humidity]]/100</f>
        <v>0.45750000000000002</v>
      </c>
      <c r="G48" s="5" cm="1">
        <f t="array" ref="G48">wet_bulb_temp(Таблица1[[#This Row],[temp]],Таблица1[[#This Row],[humidity_ratio]],Таблица1[[#This Row],[pressure_kpa]])</f>
        <v>9.0797687044996778</v>
      </c>
      <c r="H48" s="5" cm="1">
        <f t="array" ref="H48">wet_bulb_temp_simple(Таблица1[[#This Row],[temp]],Таблица1[[#This Row],[humidity]])</f>
        <v>8.8971795594826109</v>
      </c>
      <c r="I48" s="5">
        <f>IF(Таблица1[[#This Row],[wet_bulb_thermo]]+$F$1&lt;20,20,Таблица1[[#This Row],[wet_bulb_thermo]]+$F$1)</f>
        <v>20</v>
      </c>
      <c r="J48" s="9">
        <f>Таблица1[[#This Row],[Tcold]]+$I$1</f>
        <v>30</v>
      </c>
      <c r="K48" s="12" cm="1">
        <f t="array" ref="K48">evaporation(Таблица1[[#This Row],[Thot]],Таблица1[[#This Row],[Tcold]],Таблица1[[#This Row],[temp]],Таблица1[[#This Row],[humidity_ratio]],Таблица1[[#This Row],[pressure_kpa]])/$I$1</f>
        <v>1.3210973811059474E-3</v>
      </c>
      <c r="L48">
        <f>MONTH(Таблица1[[#This Row],[date]])</f>
        <v>2</v>
      </c>
      <c r="M48" t="str">
        <f>IF(AND(Таблица1[[#This Row],[month]]&gt;3, Таблица1[[#This Row],[month]]&lt;11),"SUMMER","WINTER")</f>
        <v>WINTER</v>
      </c>
    </row>
    <row r="49" spans="1:13" x14ac:dyDescent="0.25">
      <c r="A49" s="2">
        <v>44229</v>
      </c>
      <c r="B49" s="5">
        <v>16.75</v>
      </c>
      <c r="C49" s="5">
        <v>763.95</v>
      </c>
      <c r="D49" s="5">
        <v>45.625</v>
      </c>
      <c r="E49" s="5">
        <f>Таблица1[[#This Row],[pressure]]/760*101325</f>
        <v>101851.62335526316</v>
      </c>
      <c r="F49" s="7">
        <f>Таблица1[[#This Row],[humidity]]/100</f>
        <v>0.45624999999999999</v>
      </c>
      <c r="G49" s="5" cm="1">
        <f t="array" ref="G49">wet_bulb_temp(Таблица1[[#This Row],[temp]],Таблица1[[#This Row],[humidity_ratio]],Таблица1[[#This Row],[pressure_kpa]])</f>
        <v>10.482377795543728</v>
      </c>
      <c r="H49" s="5" cm="1">
        <f t="array" ref="H49">wet_bulb_temp_simple(Таблица1[[#This Row],[temp]],Таблица1[[#This Row],[humidity]])</f>
        <v>10.374799341472036</v>
      </c>
      <c r="I49" s="5">
        <f>IF(Таблица1[[#This Row],[wet_bulb_thermo]]+$F$1&lt;20,20,Таблица1[[#This Row],[wet_bulb_thermo]]+$F$1)</f>
        <v>20.482377795543727</v>
      </c>
      <c r="J49" s="9">
        <f>Таблица1[[#This Row],[Tcold]]+$I$1</f>
        <v>30.482377795543727</v>
      </c>
      <c r="K49" s="12" cm="1">
        <f t="array" ref="K49">evaporation(Таблица1[[#This Row],[Thot]],Таблица1[[#This Row],[Tcold]],Таблица1[[#This Row],[temp]],Таблица1[[#This Row],[humidity_ratio]],Таблица1[[#This Row],[pressure_kpa]])/$I$1</f>
        <v>1.349030170152068E-3</v>
      </c>
      <c r="L49">
        <f>MONTH(Таблица1[[#This Row],[date]])</f>
        <v>2</v>
      </c>
      <c r="M49" t="str">
        <f>IF(AND(Таблица1[[#This Row],[month]]&gt;3, Таблица1[[#This Row],[month]]&lt;11),"SUMMER","WINTER")</f>
        <v>WINTER</v>
      </c>
    </row>
    <row r="50" spans="1:13" x14ac:dyDescent="0.25">
      <c r="A50" s="2">
        <v>44230</v>
      </c>
      <c r="B50" s="5">
        <v>16.074999999999999</v>
      </c>
      <c r="C50" s="5">
        <v>762.2</v>
      </c>
      <c r="D50" s="5">
        <v>50.25</v>
      </c>
      <c r="E50" s="5">
        <f>Таблица1[[#This Row],[pressure]]/760*101325</f>
        <v>101618.30921052632</v>
      </c>
      <c r="F50" s="7">
        <f>Таблица1[[#This Row],[humidity]]/100</f>
        <v>0.50249999999999995</v>
      </c>
      <c r="G50" s="5" cm="1">
        <f t="array" ref="G50">wet_bulb_temp(Таблица1[[#This Row],[temp]],Таблица1[[#This Row],[humidity_ratio]],Таблица1[[#This Row],[pressure_kpa]])</f>
        <v>10.523503284565516</v>
      </c>
      <c r="H50" s="5" cm="1">
        <f t="array" ref="H50">wet_bulb_temp_simple(Таблица1[[#This Row],[temp]],Таблица1[[#This Row],[humidity]])</f>
        <v>10.353991376012951</v>
      </c>
      <c r="I50" s="5">
        <f>IF(Таблица1[[#This Row],[wet_bulb_thermo]]+$F$1&lt;20,20,Таблица1[[#This Row],[wet_bulb_thermo]]+$F$1)</f>
        <v>20.523503284565514</v>
      </c>
      <c r="J50" s="9">
        <f>Таблица1[[#This Row],[Tcold]]+$I$1</f>
        <v>30.523503284565514</v>
      </c>
      <c r="K50" s="12" cm="1">
        <f t="array" ref="K50">evaporation(Таблица1[[#This Row],[Thot]],Таблица1[[#This Row],[Tcold]],Таблица1[[#This Row],[temp]],Таблица1[[#This Row],[humidity_ratio]],Таблица1[[#This Row],[pressure_kpa]])/$I$1</f>
        <v>1.333157537784723E-3</v>
      </c>
      <c r="L50">
        <f>MONTH(Таблица1[[#This Row],[date]])</f>
        <v>2</v>
      </c>
      <c r="M50" t="str">
        <f>IF(AND(Таблица1[[#This Row],[month]]&gt;3, Таблица1[[#This Row],[month]]&lt;11),"SUMMER","WINTER")</f>
        <v>WINTER</v>
      </c>
    </row>
    <row r="51" spans="1:13" x14ac:dyDescent="0.25">
      <c r="A51" s="2">
        <v>44231</v>
      </c>
      <c r="B51" s="5">
        <v>16.612500000000001</v>
      </c>
      <c r="C51" s="5">
        <v>761.01250000000005</v>
      </c>
      <c r="D51" s="5">
        <v>55</v>
      </c>
      <c r="E51" s="5">
        <f>Таблица1[[#This Row],[pressure]]/760*101325</f>
        <v>101459.98889802632</v>
      </c>
      <c r="F51" s="7">
        <f>Таблица1[[#This Row],[humidity]]/100</f>
        <v>0.55000000000000004</v>
      </c>
      <c r="G51" s="5" cm="1">
        <f t="array" ref="G51">wet_bulb_temp(Таблица1[[#This Row],[temp]],Таблица1[[#This Row],[humidity_ratio]],Таблица1[[#This Row],[pressure_kpa]])</f>
        <v>11.554261549379289</v>
      </c>
      <c r="H51" s="5" cm="1">
        <f t="array" ref="H51">wet_bulb_temp_simple(Таблица1[[#This Row],[temp]],Таблица1[[#This Row],[humidity]])</f>
        <v>11.379989300409154</v>
      </c>
      <c r="I51" s="5">
        <f>IF(Таблица1[[#This Row],[wet_bulb_thermo]]+$F$1&lt;20,20,Таблица1[[#This Row],[wet_bulb_thermo]]+$F$1)</f>
        <v>21.554261549379291</v>
      </c>
      <c r="J51" s="9">
        <f>Таблица1[[#This Row],[Tcold]]+$I$1</f>
        <v>31.554261549379291</v>
      </c>
      <c r="K51" s="12" cm="1">
        <f t="array" ref="K51">evaporation(Таблица1[[#This Row],[Thot]],Таблица1[[#This Row],[Tcold]],Таблица1[[#This Row],[temp]],Таблица1[[#This Row],[humidity_ratio]],Таблица1[[#This Row],[pressure_kpa]])/$I$1</f>
        <v>1.3369041388187528E-3</v>
      </c>
      <c r="L51">
        <f>MONTH(Таблица1[[#This Row],[date]])</f>
        <v>2</v>
      </c>
      <c r="M51" t="str">
        <f>IF(AND(Таблица1[[#This Row],[month]]&gt;3, Таблица1[[#This Row],[month]]&lt;11),"SUMMER","WINTER")</f>
        <v>WINTER</v>
      </c>
    </row>
    <row r="52" spans="1:13" x14ac:dyDescent="0.25">
      <c r="A52" s="2">
        <v>44232</v>
      </c>
      <c r="B52" s="5">
        <v>18.925000000000001</v>
      </c>
      <c r="C52" s="5">
        <v>759.9</v>
      </c>
      <c r="D52" s="5">
        <v>46.75</v>
      </c>
      <c r="E52" s="5">
        <f>Таблица1[[#This Row],[pressure]]/760*101325</f>
        <v>101311.66776315789</v>
      </c>
      <c r="F52" s="7">
        <f>Таблица1[[#This Row],[humidity]]/100</f>
        <v>0.46750000000000003</v>
      </c>
      <c r="G52" s="5" cm="1">
        <f t="array" ref="G52">wet_bulb_temp(Таблица1[[#This Row],[temp]],Таблица1[[#This Row],[humidity_ratio]],Таблица1[[#This Row],[pressure_kpa]])</f>
        <v>12.396212741449499</v>
      </c>
      <c r="H52" s="5" cm="1">
        <f t="array" ref="H52">wet_bulb_temp_simple(Таблица1[[#This Row],[temp]],Таблица1[[#This Row],[humidity]])</f>
        <v>12.351270315826458</v>
      </c>
      <c r="I52" s="5">
        <f>IF(Таблица1[[#This Row],[wet_bulb_thermo]]+$F$1&lt;20,20,Таблица1[[#This Row],[wet_bulb_thermo]]+$F$1)</f>
        <v>22.396212741449499</v>
      </c>
      <c r="J52" s="9">
        <f>Таблица1[[#This Row],[Tcold]]+$I$1</f>
        <v>32.396212741449503</v>
      </c>
      <c r="K52" s="12" cm="1">
        <f t="array" ref="K52">evaporation(Таблица1[[#This Row],[Thot]],Таблица1[[#This Row],[Tcold]],Таблица1[[#This Row],[temp]],Таблица1[[#This Row],[humidity_ratio]],Таблица1[[#This Row],[pressure_kpa]])/$I$1</f>
        <v>1.382058169581138E-3</v>
      </c>
      <c r="L52">
        <f>MONTH(Таблица1[[#This Row],[date]])</f>
        <v>2</v>
      </c>
      <c r="M52" t="str">
        <f>IF(AND(Таблица1[[#This Row],[month]]&gt;3, Таблица1[[#This Row],[month]]&lt;11),"SUMMER","WINTER")</f>
        <v>WINTER</v>
      </c>
    </row>
    <row r="53" spans="1:13" x14ac:dyDescent="0.25">
      <c r="A53" s="2">
        <v>44233</v>
      </c>
      <c r="B53" s="5">
        <v>18.162500000000001</v>
      </c>
      <c r="C53" s="5">
        <v>758.82500000000005</v>
      </c>
      <c r="D53" s="5">
        <v>61.125</v>
      </c>
      <c r="E53" s="5">
        <f>Таблица1[[#This Row],[pressure]]/760*101325</f>
        <v>101168.34621710527</v>
      </c>
      <c r="F53" s="7">
        <f>Таблица1[[#This Row],[humidity]]/100</f>
        <v>0.61124999999999996</v>
      </c>
      <c r="G53" s="5" cm="1">
        <f t="array" ref="G53">wet_bulb_temp(Таблица1[[#This Row],[temp]],Таблица1[[#This Row],[humidity_ratio]],Таблица1[[#This Row],[pressure_kpa]])</f>
        <v>13.650318631857305</v>
      </c>
      <c r="H53" s="5" cm="1">
        <f t="array" ref="H53">wet_bulb_temp_simple(Таблица1[[#This Row],[temp]],Таблица1[[#This Row],[humidity]])</f>
        <v>13.495781326744298</v>
      </c>
      <c r="I53" s="5">
        <f>IF(Таблица1[[#This Row],[wet_bulb_thermo]]+$F$1&lt;20,20,Таблица1[[#This Row],[wet_bulb_thermo]]+$F$1)</f>
        <v>23.650318631857303</v>
      </c>
      <c r="J53" s="9">
        <f>Таблица1[[#This Row],[Tcold]]+$I$1</f>
        <v>33.650318631857303</v>
      </c>
      <c r="K53" s="12" cm="1">
        <f t="array" ref="K53">evaporation(Таблица1[[#This Row],[Thot]],Таблица1[[#This Row],[Tcold]],Таблица1[[#This Row],[temp]],Таблица1[[#This Row],[humidity_ratio]],Таблица1[[#This Row],[pressure_kpa]])/$I$1</f>
        <v>1.3556459354753445E-3</v>
      </c>
      <c r="L53">
        <f>MONTH(Таблица1[[#This Row],[date]])</f>
        <v>2</v>
      </c>
      <c r="M53" t="str">
        <f>IF(AND(Таблица1[[#This Row],[month]]&gt;3, Таблица1[[#This Row],[month]]&lt;11),"SUMMER","WINTER")</f>
        <v>WINTER</v>
      </c>
    </row>
    <row r="54" spans="1:13" x14ac:dyDescent="0.25">
      <c r="A54" s="2">
        <v>44234</v>
      </c>
      <c r="B54" s="5">
        <v>15.012499999999999</v>
      </c>
      <c r="C54" s="5">
        <v>760.6</v>
      </c>
      <c r="D54" s="5">
        <v>84.625</v>
      </c>
      <c r="E54" s="5">
        <f>Таблица1[[#This Row],[pressure]]/760*101325</f>
        <v>101404.99342105263</v>
      </c>
      <c r="F54" s="7">
        <f>Таблица1[[#This Row],[humidity]]/100</f>
        <v>0.84624999999999995</v>
      </c>
      <c r="G54" s="5" cm="1">
        <f t="array" ref="G54">wet_bulb_temp(Таблица1[[#This Row],[temp]],Таблица1[[#This Row],[humidity_ratio]],Таблица1[[#This Row],[pressure_kpa]])</f>
        <v>13.441584337490882</v>
      </c>
      <c r="H54" s="5" cm="1">
        <f t="array" ref="H54">wet_bulb_temp_simple(Таблица1[[#This Row],[temp]],Таблица1[[#This Row],[humidity]])</f>
        <v>13.2556965621774</v>
      </c>
      <c r="I54" s="5">
        <f>IF(Таблица1[[#This Row],[wet_bulb_thermo]]+$F$1&lt;20,20,Таблица1[[#This Row],[wet_bulb_thermo]]+$F$1)</f>
        <v>23.44158433749088</v>
      </c>
      <c r="J54" s="9">
        <f>Таблица1[[#This Row],[Tcold]]+$I$1</f>
        <v>33.44158433749088</v>
      </c>
      <c r="K54" s="12" cm="1">
        <f t="array" ref="K54">evaporation(Таблица1[[#This Row],[Thot]],Таблица1[[#This Row],[Tcold]],Таблица1[[#This Row],[temp]],Таблица1[[#This Row],[humidity_ratio]],Таблица1[[#This Row],[pressure_kpa]])/$I$1</f>
        <v>1.2892849327512668E-3</v>
      </c>
      <c r="L54">
        <f>MONTH(Таблица1[[#This Row],[date]])</f>
        <v>2</v>
      </c>
      <c r="M54" t="str">
        <f>IF(AND(Таблица1[[#This Row],[month]]&gt;3, Таблица1[[#This Row],[month]]&lt;11),"SUMMER","WINTER")</f>
        <v>WINTER</v>
      </c>
    </row>
    <row r="55" spans="1:13" x14ac:dyDescent="0.25">
      <c r="A55" s="2">
        <v>44235</v>
      </c>
      <c r="B55" s="5">
        <v>16.024999999999999</v>
      </c>
      <c r="C55" s="5">
        <v>765.05</v>
      </c>
      <c r="D55" s="5">
        <v>80.5</v>
      </c>
      <c r="E55" s="5">
        <f>Таблица1[[#This Row],[pressure]]/760*101325</f>
        <v>101998.27796052631</v>
      </c>
      <c r="F55" s="7">
        <f>Таблица1[[#This Row],[humidity]]/100</f>
        <v>0.80500000000000005</v>
      </c>
      <c r="G55" s="5" cm="1">
        <f t="array" ref="G55">wet_bulb_temp(Таблица1[[#This Row],[temp]],Таблица1[[#This Row],[humidity_ratio]],Таблица1[[#This Row],[pressure_kpa]])</f>
        <v>13.909450622757682</v>
      </c>
      <c r="H55" s="5" cm="1">
        <f t="array" ref="H55">wet_bulb_temp_simple(Таблица1[[#This Row],[temp]],Таблица1[[#This Row],[humidity]])</f>
        <v>13.769930657437072</v>
      </c>
      <c r="I55" s="5">
        <f>IF(Таблица1[[#This Row],[wet_bulb_thermo]]+$F$1&lt;20,20,Таблица1[[#This Row],[wet_bulb_thermo]]+$F$1)</f>
        <v>23.909450622757682</v>
      </c>
      <c r="J55" s="9">
        <f>Таблица1[[#This Row],[Tcold]]+$I$1</f>
        <v>33.909450622757682</v>
      </c>
      <c r="K55" s="12" cm="1">
        <f t="array" ref="K55">evaporation(Таблица1[[#This Row],[Thot]],Таблица1[[#This Row],[Tcold]],Таблица1[[#This Row],[temp]],Таблица1[[#This Row],[humidity_ratio]],Таблица1[[#This Row],[pressure_kpa]])/$I$1</f>
        <v>1.3059518681736416E-3</v>
      </c>
      <c r="L55">
        <f>MONTH(Таблица1[[#This Row],[date]])</f>
        <v>2</v>
      </c>
      <c r="M55" t="str">
        <f>IF(AND(Таблица1[[#This Row],[month]]&gt;3, Таблица1[[#This Row],[month]]&lt;11),"SUMMER","WINTER")</f>
        <v>WINTER</v>
      </c>
    </row>
    <row r="56" spans="1:13" x14ac:dyDescent="0.25">
      <c r="A56" s="2">
        <v>44236</v>
      </c>
      <c r="B56" s="5">
        <v>17.412500000000001</v>
      </c>
      <c r="C56" s="5">
        <v>764.96249999999998</v>
      </c>
      <c r="D56" s="5">
        <v>75.25</v>
      </c>
      <c r="E56" s="5">
        <f>Таблица1[[#This Row],[pressure]]/760*101325</f>
        <v>101986.61225328947</v>
      </c>
      <c r="F56" s="7">
        <f>Таблица1[[#This Row],[humidity]]/100</f>
        <v>0.75249999999999995</v>
      </c>
      <c r="G56" s="5" cm="1">
        <f t="array" ref="G56">wet_bulb_temp(Таблица1[[#This Row],[temp]],Таблица1[[#This Row],[humidity_ratio]],Таблица1[[#This Row],[pressure_kpa]])</f>
        <v>14.610807372972884</v>
      </c>
      <c r="H56" s="5" cm="1">
        <f t="array" ref="H56">wet_bulb_temp_simple(Таблица1[[#This Row],[temp]],Таблица1[[#This Row],[humidity]])</f>
        <v>14.487255566796515</v>
      </c>
      <c r="I56" s="5">
        <f>IF(Таблица1[[#This Row],[wet_bulb_thermo]]+$F$1&lt;20,20,Таблица1[[#This Row],[wet_bulb_thermo]]+$F$1)</f>
        <v>24.610807372972886</v>
      </c>
      <c r="J56" s="9">
        <f>Таблица1[[#This Row],[Tcold]]+$I$1</f>
        <v>34.610807372972886</v>
      </c>
      <c r="K56" s="12" cm="1">
        <f t="array" ref="K56">evaporation(Таблица1[[#This Row],[Thot]],Таблица1[[#This Row],[Tcold]],Таблица1[[#This Row],[temp]],Таблица1[[#This Row],[humidity_ratio]],Таблица1[[#This Row],[pressure_kpa]])/$I$1</f>
        <v>1.3311147198414369E-3</v>
      </c>
      <c r="L56">
        <f>MONTH(Таблица1[[#This Row],[date]])</f>
        <v>2</v>
      </c>
      <c r="M56" t="str">
        <f>IF(AND(Таблица1[[#This Row],[month]]&gt;3, Таблица1[[#This Row],[month]]&lt;11),"SUMMER","WINTER")</f>
        <v>WINTER</v>
      </c>
    </row>
    <row r="57" spans="1:13" x14ac:dyDescent="0.25">
      <c r="A57" s="2">
        <v>44237</v>
      </c>
      <c r="B57" s="5">
        <v>19.149999999999999</v>
      </c>
      <c r="C57" s="5">
        <v>761.83749999999998</v>
      </c>
      <c r="D57" s="5">
        <v>69.5</v>
      </c>
      <c r="E57" s="5">
        <f>Таблица1[[#This Row],[pressure]]/760*101325</f>
        <v>101569.97985197369</v>
      </c>
      <c r="F57" s="7">
        <f>Таблица1[[#This Row],[humidity]]/100</f>
        <v>0.69499999999999995</v>
      </c>
      <c r="G57" s="5" cm="1">
        <f t="array" ref="G57">wet_bulb_temp(Таблица1[[#This Row],[temp]],Таблица1[[#This Row],[humidity_ratio]],Таблица1[[#This Row],[pressure_kpa]])</f>
        <v>15.534985423790358</v>
      </c>
      <c r="H57" s="5" cm="1">
        <f t="array" ref="H57">wet_bulb_temp_simple(Таблица1[[#This Row],[temp]],Таблица1[[#This Row],[humidity]])</f>
        <v>15.42669743705499</v>
      </c>
      <c r="I57" s="5">
        <f>IF(Таблица1[[#This Row],[wet_bulb_thermo]]+$F$1&lt;20,20,Таблица1[[#This Row],[wet_bulb_thermo]]+$F$1)</f>
        <v>25.53498542379036</v>
      </c>
      <c r="J57" s="9">
        <f>Таблица1[[#This Row],[Tcold]]+$I$1</f>
        <v>35.53498542379036</v>
      </c>
      <c r="K57" s="12" cm="1">
        <f t="array" ref="K57">evaporation(Таблица1[[#This Row],[Thot]],Таблица1[[#This Row],[Tcold]],Таблица1[[#This Row],[temp]],Таблица1[[#This Row],[humidity_ratio]],Таблица1[[#This Row],[pressure_kpa]])/$I$1</f>
        <v>1.3623513969387617E-3</v>
      </c>
      <c r="L57">
        <f>MONTH(Таблица1[[#This Row],[date]])</f>
        <v>2</v>
      </c>
      <c r="M57" t="str">
        <f>IF(AND(Таблица1[[#This Row],[month]]&gt;3, Таблица1[[#This Row],[month]]&lt;11),"SUMMER","WINTER")</f>
        <v>WINTER</v>
      </c>
    </row>
    <row r="58" spans="1:13" x14ac:dyDescent="0.25">
      <c r="A58" s="2">
        <v>44238</v>
      </c>
      <c r="B58" s="5">
        <v>19.425000000000001</v>
      </c>
      <c r="C58" s="5">
        <v>760</v>
      </c>
      <c r="D58" s="5">
        <v>57.25</v>
      </c>
      <c r="E58" s="5">
        <f>Таблица1[[#This Row],[pressure]]/760*101325</f>
        <v>101325</v>
      </c>
      <c r="F58" s="7">
        <f>Таблица1[[#This Row],[humidity]]/100</f>
        <v>0.57250000000000001</v>
      </c>
      <c r="G58" s="5" cm="1">
        <f t="array" ref="G58">wet_bulb_temp(Таблица1[[#This Row],[temp]],Таблица1[[#This Row],[humidity_ratio]],Таблица1[[#This Row],[pressure_kpa]])</f>
        <v>14.220349994689959</v>
      </c>
      <c r="H58" s="5" cm="1">
        <f t="array" ref="H58">wet_bulb_temp_simple(Таблица1[[#This Row],[temp]],Таблица1[[#This Row],[humidity]])</f>
        <v>14.143469394007726</v>
      </c>
      <c r="I58" s="5">
        <f>IF(Таблица1[[#This Row],[wet_bulb_thermo]]+$F$1&lt;20,20,Таблица1[[#This Row],[wet_bulb_thermo]]+$F$1)</f>
        <v>24.220349994689961</v>
      </c>
      <c r="J58" s="9">
        <f>Таблица1[[#This Row],[Tcold]]+$I$1</f>
        <v>34.220349994689961</v>
      </c>
      <c r="K58" s="12" cm="1">
        <f t="array" ref="K58">evaporation(Таблица1[[#This Row],[Thot]],Таблица1[[#This Row],[Tcold]],Таблица1[[#This Row],[temp]],Таблица1[[#This Row],[humidity_ratio]],Таблица1[[#This Row],[pressure_kpa]])/$I$1</f>
        <v>1.37725206617857E-3</v>
      </c>
      <c r="L58">
        <f>MONTH(Таблица1[[#This Row],[date]])</f>
        <v>2</v>
      </c>
      <c r="M58" t="str">
        <f>IF(AND(Таблица1[[#This Row],[month]]&gt;3, Таблица1[[#This Row],[month]]&lt;11),"SUMMER","WINTER")</f>
        <v>WINTER</v>
      </c>
    </row>
    <row r="59" spans="1:13" x14ac:dyDescent="0.25">
      <c r="A59" s="2">
        <v>44239</v>
      </c>
      <c r="B59" s="5">
        <v>18.362500000000001</v>
      </c>
      <c r="C59" s="5">
        <v>758.9</v>
      </c>
      <c r="D59" s="5">
        <v>53.625</v>
      </c>
      <c r="E59" s="5">
        <f>Таблица1[[#This Row],[pressure]]/760*101325</f>
        <v>101178.34539473684</v>
      </c>
      <c r="F59" s="7">
        <f>Таблица1[[#This Row],[humidity]]/100</f>
        <v>0.53625</v>
      </c>
      <c r="G59" s="5" cm="1">
        <f t="array" ref="G59">wet_bulb_temp(Таблица1[[#This Row],[temp]],Таблица1[[#This Row],[humidity_ratio]],Таблица1[[#This Row],[pressure_kpa]])</f>
        <v>12.861913349950644</v>
      </c>
      <c r="H59" s="5" cm="1">
        <f t="array" ref="H59">wet_bulb_temp_simple(Таблица1[[#This Row],[temp]],Таблица1[[#This Row],[humidity]])</f>
        <v>12.748354275073421</v>
      </c>
      <c r="I59" s="5">
        <f>IF(Таблица1[[#This Row],[wet_bulb_thermo]]+$F$1&lt;20,20,Таблица1[[#This Row],[wet_bulb_thermo]]+$F$1)</f>
        <v>22.861913349950644</v>
      </c>
      <c r="J59" s="9">
        <f>Таблица1[[#This Row],[Tcold]]+$I$1</f>
        <v>32.86191334995064</v>
      </c>
      <c r="K59" s="12" cm="1">
        <f t="array" ref="K59">evaporation(Таблица1[[#This Row],[Thot]],Таблица1[[#This Row],[Tcold]],Таблица1[[#This Row],[temp]],Таблица1[[#This Row],[humidity_ratio]],Таблица1[[#This Row],[pressure_kpa]])/$I$1</f>
        <v>1.3659636982038818E-3</v>
      </c>
      <c r="L59">
        <f>MONTH(Таблица1[[#This Row],[date]])</f>
        <v>2</v>
      </c>
      <c r="M59" t="str">
        <f>IF(AND(Таблица1[[#This Row],[month]]&gt;3, Таблица1[[#This Row],[month]]&lt;11),"SUMMER","WINTER")</f>
        <v>WINTER</v>
      </c>
    </row>
    <row r="60" spans="1:13" x14ac:dyDescent="0.25">
      <c r="A60" s="2">
        <v>44240</v>
      </c>
      <c r="B60" s="5">
        <v>18.587499999999999</v>
      </c>
      <c r="C60" s="5">
        <v>759.8</v>
      </c>
      <c r="D60" s="5">
        <v>46.75</v>
      </c>
      <c r="E60" s="5">
        <f>Таблица1[[#This Row],[pressure]]/760*101325</f>
        <v>101298.33552631579</v>
      </c>
      <c r="F60" s="7">
        <f>Таблица1[[#This Row],[humidity]]/100</f>
        <v>0.46750000000000003</v>
      </c>
      <c r="G60" s="5" cm="1">
        <f t="array" ref="G60">wet_bulb_temp(Таблица1[[#This Row],[temp]],Таблица1[[#This Row],[humidity_ratio]],Таблица1[[#This Row],[pressure_kpa]])</f>
        <v>12.127074123116151</v>
      </c>
      <c r="H60" s="5" cm="1">
        <f t="array" ref="H60">wet_bulb_temp_simple(Таблица1[[#This Row],[temp]],Таблица1[[#This Row],[humidity]])</f>
        <v>12.065881554546515</v>
      </c>
      <c r="I60" s="5">
        <f>IF(Таблица1[[#This Row],[wet_bulb_thermo]]+$F$1&lt;20,20,Таблица1[[#This Row],[wet_bulb_thermo]]+$F$1)</f>
        <v>22.127074123116152</v>
      </c>
      <c r="J60" s="9">
        <f>Таблица1[[#This Row],[Tcold]]+$I$1</f>
        <v>32.127074123116152</v>
      </c>
      <c r="K60" s="12" cm="1">
        <f t="array" ref="K60">evaporation(Таблица1[[#This Row],[Thot]],Таблица1[[#This Row],[Tcold]],Таблица1[[#This Row],[temp]],Таблица1[[#This Row],[humidity_ratio]],Таблица1[[#This Row],[pressure_kpa]])/$I$1</f>
        <v>1.3771407970339729E-3</v>
      </c>
      <c r="L60">
        <f>MONTH(Таблица1[[#This Row],[date]])</f>
        <v>2</v>
      </c>
      <c r="M60" t="str">
        <f>IF(AND(Таблица1[[#This Row],[month]]&gt;3, Таблица1[[#This Row],[month]]&lt;11),"SUMMER","WINTER")</f>
        <v>WINTER</v>
      </c>
    </row>
    <row r="61" spans="1:13" x14ac:dyDescent="0.25">
      <c r="A61" s="2">
        <v>44241</v>
      </c>
      <c r="B61" s="5">
        <v>18.7</v>
      </c>
      <c r="C61" s="5">
        <v>760.86249999999995</v>
      </c>
      <c r="D61" s="5">
        <v>50.625</v>
      </c>
      <c r="E61" s="5">
        <f>Таблица1[[#This Row],[pressure]]/760*101325</f>
        <v>101439.99054276316</v>
      </c>
      <c r="F61" s="7">
        <f>Таблица1[[#This Row],[humidity]]/100</f>
        <v>0.50624999999999998</v>
      </c>
      <c r="G61" s="5" cm="1">
        <f t="array" ref="G61">wet_bulb_temp(Таблица1[[#This Row],[temp]],Таблица1[[#This Row],[humidity_ratio]],Таблица1[[#This Row],[pressure_kpa]])</f>
        <v>12.728044453743205</v>
      </c>
      <c r="H61" s="5" cm="1">
        <f t="array" ref="H61">wet_bulb_temp_simple(Таблица1[[#This Row],[temp]],Таблица1[[#This Row],[humidity]])</f>
        <v>12.66177405056982</v>
      </c>
      <c r="I61" s="5">
        <f>IF(Таблица1[[#This Row],[wet_bulb_thermo]]+$F$1&lt;20,20,Таблица1[[#This Row],[wet_bulb_thermo]]+$F$1)</f>
        <v>22.728044453743205</v>
      </c>
      <c r="J61" s="9">
        <f>Таблица1[[#This Row],[Tcold]]+$I$1</f>
        <v>32.728044453743209</v>
      </c>
      <c r="K61" s="12" cm="1">
        <f t="array" ref="K61">evaporation(Таблица1[[#This Row],[Thot]],Таблица1[[#This Row],[Tcold]],Таблица1[[#This Row],[temp]],Таблица1[[#This Row],[humidity_ratio]],Таблица1[[#This Row],[pressure_kpa]])/$I$1</f>
        <v>1.3736122089460022E-3</v>
      </c>
      <c r="L61">
        <f>MONTH(Таблица1[[#This Row],[date]])</f>
        <v>2</v>
      </c>
      <c r="M61" t="str">
        <f>IF(AND(Таблица1[[#This Row],[month]]&gt;3, Таблица1[[#This Row],[month]]&lt;11),"SUMMER","WINTER")</f>
        <v>WINTER</v>
      </c>
    </row>
    <row r="62" spans="1:13" x14ac:dyDescent="0.25">
      <c r="A62" s="2">
        <v>44242</v>
      </c>
      <c r="B62" s="5">
        <v>20.087499999999999</v>
      </c>
      <c r="C62" s="5">
        <v>759.17499999999995</v>
      </c>
      <c r="D62" s="5">
        <v>48</v>
      </c>
      <c r="E62" s="5">
        <f>Таблица1[[#This Row],[pressure]]/760*101325</f>
        <v>101215.00904605263</v>
      </c>
      <c r="F62" s="7">
        <f>Таблица1[[#This Row],[humidity]]/100</f>
        <v>0.48</v>
      </c>
      <c r="G62" s="5" cm="1">
        <f t="array" ref="G62">wet_bulb_temp(Таблица1[[#This Row],[temp]],Таблица1[[#This Row],[humidity_ratio]],Таблица1[[#This Row],[pressure_kpa]])</f>
        <v>13.509483965375622</v>
      </c>
      <c r="H62" s="5" cm="1">
        <f t="array" ref="H62">wet_bulb_temp_simple(Таблица1[[#This Row],[temp]],Таблица1[[#This Row],[humidity]])</f>
        <v>13.504567420656265</v>
      </c>
      <c r="I62" s="5">
        <f>IF(Таблица1[[#This Row],[wet_bulb_thermo]]+$F$1&lt;20,20,Таблица1[[#This Row],[wet_bulb_thermo]]+$F$1)</f>
        <v>23.509483965375622</v>
      </c>
      <c r="J62" s="9">
        <f>Таблица1[[#This Row],[Tcold]]+$I$1</f>
        <v>33.509483965375622</v>
      </c>
      <c r="K62" s="12" cm="1">
        <f t="array" ref="K62">evaporation(Таблица1[[#This Row],[Thot]],Таблица1[[#This Row],[Tcold]],Таблица1[[#This Row],[temp]],Таблица1[[#This Row],[humidity_ratio]],Таблица1[[#This Row],[pressure_kpa]])/$I$1</f>
        <v>1.3972890113556997E-3</v>
      </c>
      <c r="L62">
        <f>MONTH(Таблица1[[#This Row],[date]])</f>
        <v>2</v>
      </c>
      <c r="M62" t="str">
        <f>IF(AND(Таблица1[[#This Row],[month]]&gt;3, Таблица1[[#This Row],[month]]&lt;11),"SUMMER","WINTER")</f>
        <v>WINTER</v>
      </c>
    </row>
    <row r="63" spans="1:13" x14ac:dyDescent="0.25">
      <c r="A63" s="2">
        <v>44243</v>
      </c>
      <c r="B63" s="5">
        <v>20.912500000000001</v>
      </c>
      <c r="C63" s="5">
        <v>756.78750000000002</v>
      </c>
      <c r="D63" s="5">
        <v>49.125</v>
      </c>
      <c r="E63" s="5">
        <f>Таблица1[[#This Row],[pressure]]/760*101325</f>
        <v>100896.70189144737</v>
      </c>
      <c r="F63" s="7">
        <f>Таблица1[[#This Row],[humidity]]/100</f>
        <v>0.49125000000000002</v>
      </c>
      <c r="G63" s="5" cm="1">
        <f t="array" ref="G63">wet_bulb_temp(Таблица1[[#This Row],[temp]],Таблица1[[#This Row],[humidity_ratio]],Таблица1[[#This Row],[pressure_kpa]])</f>
        <v>14.359942531641398</v>
      </c>
      <c r="H63" s="5" cm="1">
        <f t="array" ref="H63">wet_bulb_temp_simple(Таблица1[[#This Row],[temp]],Таблица1[[#This Row],[humidity]])</f>
        <v>14.36303377687959</v>
      </c>
      <c r="I63" s="5">
        <f>IF(Таблица1[[#This Row],[wet_bulb_thermo]]+$F$1&lt;20,20,Таблица1[[#This Row],[wet_bulb_thermo]]+$F$1)</f>
        <v>24.359942531641398</v>
      </c>
      <c r="J63" s="9">
        <f>Таблица1[[#This Row],[Tcold]]+$I$1</f>
        <v>34.359942531641394</v>
      </c>
      <c r="K63" s="12" cm="1">
        <f t="array" ref="K63">evaporation(Таблица1[[#This Row],[Thot]],Таблица1[[#This Row],[Tcold]],Таблица1[[#This Row],[temp]],Таблица1[[#This Row],[humidity_ratio]],Таблица1[[#This Row],[pressure_kpa]])/$I$1</f>
        <v>1.4080056665934152E-3</v>
      </c>
      <c r="L63">
        <f>MONTH(Таблица1[[#This Row],[date]])</f>
        <v>2</v>
      </c>
      <c r="M63" t="str">
        <f>IF(AND(Таблица1[[#This Row],[month]]&gt;3, Таблица1[[#This Row],[month]]&lt;11),"SUMMER","WINTER")</f>
        <v>WINTER</v>
      </c>
    </row>
    <row r="64" spans="1:13" x14ac:dyDescent="0.25">
      <c r="A64" s="2">
        <v>44244</v>
      </c>
      <c r="B64" s="5">
        <v>21.675000000000001</v>
      </c>
      <c r="C64" s="5">
        <v>755.36249999999995</v>
      </c>
      <c r="D64" s="5">
        <v>41.375</v>
      </c>
      <c r="E64" s="5">
        <f>Таблица1[[#This Row],[pressure]]/760*101325</f>
        <v>100706.71751644736</v>
      </c>
      <c r="F64" s="7">
        <f>Таблица1[[#This Row],[humidity]]/100</f>
        <v>0.41375000000000001</v>
      </c>
      <c r="G64" s="5" cm="1">
        <f t="array" ref="G64">wet_bulb_temp(Таблица1[[#This Row],[temp]],Таблица1[[#This Row],[humidity_ratio]],Таблица1[[#This Row],[pressure_kpa]])</f>
        <v>13.815956792806967</v>
      </c>
      <c r="H64" s="5" cm="1">
        <f t="array" ref="H64">wet_bulb_temp_simple(Таблица1[[#This Row],[temp]],Таблица1[[#This Row],[humidity]])</f>
        <v>13.887976883206859</v>
      </c>
      <c r="I64" s="5">
        <f>IF(Таблица1[[#This Row],[wet_bulb_thermo]]+$F$1&lt;20,20,Таблица1[[#This Row],[wet_bulb_thermo]]+$F$1)</f>
        <v>23.815956792806965</v>
      </c>
      <c r="J64" s="9">
        <f>Таблица1[[#This Row],[Tcold]]+$I$1</f>
        <v>33.815956792806965</v>
      </c>
      <c r="K64" s="12" cm="1">
        <f t="array" ref="K64">evaporation(Таблица1[[#This Row],[Thot]],Таблица1[[#This Row],[Tcold]],Таблица1[[#This Row],[temp]],Таблица1[[#This Row],[humidity_ratio]],Таблица1[[#This Row],[pressure_kpa]])/$I$1</f>
        <v>1.4292655991208327E-3</v>
      </c>
      <c r="L64">
        <f>MONTH(Таблица1[[#This Row],[date]])</f>
        <v>2</v>
      </c>
      <c r="M64" t="str">
        <f>IF(AND(Таблица1[[#This Row],[month]]&gt;3, Таблица1[[#This Row],[month]]&lt;11),"SUMMER","WINTER")</f>
        <v>WINTER</v>
      </c>
    </row>
    <row r="65" spans="1:13" x14ac:dyDescent="0.25">
      <c r="A65" s="2">
        <v>44245</v>
      </c>
      <c r="B65" s="5">
        <v>15.4375</v>
      </c>
      <c r="C65" s="5">
        <v>758.63750000000005</v>
      </c>
      <c r="D65" s="5">
        <v>72.125</v>
      </c>
      <c r="E65" s="5">
        <f>Таблица1[[#This Row],[pressure]]/760*101325</f>
        <v>101143.34827302632</v>
      </c>
      <c r="F65" s="7">
        <f>Таблица1[[#This Row],[humidity]]/100</f>
        <v>0.72124999999999995</v>
      </c>
      <c r="G65" s="5" cm="1">
        <f t="array" ref="G65">wet_bulb_temp(Таблица1[[#This Row],[temp]],Таблица1[[#This Row],[humidity_ratio]],Таблица1[[#This Row],[pressure_kpa]])</f>
        <v>12.526543542607467</v>
      </c>
      <c r="H65" s="5" cm="1">
        <f t="array" ref="H65">wet_bulb_temp_simple(Таблица1[[#This Row],[temp]],Таблица1[[#This Row],[humidity]])</f>
        <v>12.267374082502698</v>
      </c>
      <c r="I65" s="5">
        <f>IF(Таблица1[[#This Row],[wet_bulb_thermo]]+$F$1&lt;20,20,Таблица1[[#This Row],[wet_bulb_thermo]]+$F$1)</f>
        <v>22.526543542607467</v>
      </c>
      <c r="J65" s="9">
        <f>Таблица1[[#This Row],[Tcold]]+$I$1</f>
        <v>32.52654354260747</v>
      </c>
      <c r="K65" s="12" cm="1">
        <f t="array" ref="K65">evaporation(Таблица1[[#This Row],[Thot]],Таблица1[[#This Row],[Tcold]],Таблица1[[#This Row],[temp]],Таблица1[[#This Row],[humidity_ratio]],Таблица1[[#This Row],[pressure_kpa]])/$I$1</f>
        <v>1.3044706936615736E-3</v>
      </c>
      <c r="L65">
        <f>MONTH(Таблица1[[#This Row],[date]])</f>
        <v>2</v>
      </c>
      <c r="M65" t="str">
        <f>IF(AND(Таблица1[[#This Row],[month]]&gt;3, Таблица1[[#This Row],[month]]&lt;11),"SUMMER","WINTER")</f>
        <v>WINTER</v>
      </c>
    </row>
    <row r="66" spans="1:13" x14ac:dyDescent="0.25">
      <c r="A66" s="2">
        <v>44246</v>
      </c>
      <c r="B66" s="5">
        <v>13.175000000000001</v>
      </c>
      <c r="C66" s="5">
        <v>764.71249999999998</v>
      </c>
      <c r="D66" s="5">
        <v>53.125</v>
      </c>
      <c r="E66" s="5">
        <f>Таблица1[[#This Row],[pressure]]/760*101325</f>
        <v>101953.28166118421</v>
      </c>
      <c r="F66" s="7">
        <f>Таблица1[[#This Row],[humidity]]/100</f>
        <v>0.53125</v>
      </c>
      <c r="G66" s="5" cm="1">
        <f t="array" ref="G66">wet_bulb_temp(Таблица1[[#This Row],[temp]],Таблица1[[#This Row],[humidity_ratio]],Таблица1[[#This Row],[pressure_kpa]])</f>
        <v>8.440983452107357</v>
      </c>
      <c r="H66" s="5" cm="1">
        <f t="array" ref="H66">wet_bulb_temp_simple(Таблица1[[#This Row],[temp]],Таблица1[[#This Row],[humidity]])</f>
        <v>8.1587761054971057</v>
      </c>
      <c r="I66" s="5">
        <f>IF(Таблица1[[#This Row],[wet_bulb_thermo]]+$F$1&lt;20,20,Таблица1[[#This Row],[wet_bulb_thermo]]+$F$1)</f>
        <v>20</v>
      </c>
      <c r="J66" s="9">
        <f>Таблица1[[#This Row],[Tcold]]+$I$1</f>
        <v>30</v>
      </c>
      <c r="K66" s="12" cm="1">
        <f t="array" ref="K66">evaporation(Таблица1[[#This Row],[Thot]],Таблица1[[#This Row],[Tcold]],Таблица1[[#This Row],[temp]],Таблица1[[#This Row],[humidity_ratio]],Таблица1[[#This Row],[pressure_kpa]])/$I$1</f>
        <v>1.2858433583240777E-3</v>
      </c>
      <c r="L66">
        <f>MONTH(Таблица1[[#This Row],[date]])</f>
        <v>2</v>
      </c>
      <c r="M66" t="str">
        <f>IF(AND(Таблица1[[#This Row],[month]]&gt;3, Таблица1[[#This Row],[month]]&lt;11),"SUMMER","WINTER")</f>
        <v>WINTER</v>
      </c>
    </row>
    <row r="67" spans="1:13" x14ac:dyDescent="0.25">
      <c r="A67" s="2">
        <v>44247</v>
      </c>
      <c r="B67" s="5">
        <v>14.074999999999999</v>
      </c>
      <c r="C67" s="5">
        <v>764.625</v>
      </c>
      <c r="D67" s="5">
        <v>50.375</v>
      </c>
      <c r="E67" s="5">
        <f>Таблица1[[#This Row],[pressure]]/760*101325</f>
        <v>101941.61595394737</v>
      </c>
      <c r="F67" s="7">
        <f>Таблица1[[#This Row],[humidity]]/100</f>
        <v>0.50375000000000003</v>
      </c>
      <c r="G67" s="5" cm="1">
        <f t="array" ref="G67">wet_bulb_temp(Таблица1[[#This Row],[temp]],Таблица1[[#This Row],[humidity_ratio]],Таблица1[[#This Row],[pressure_kpa]])</f>
        <v>8.8834180229522079</v>
      </c>
      <c r="H67" s="5" cm="1">
        <f t="array" ref="H67">wet_bulb_temp_simple(Таблица1[[#This Row],[temp]],Таблица1[[#This Row],[humidity]])</f>
        <v>8.6458616363066572</v>
      </c>
      <c r="I67" s="5">
        <f>IF(Таблица1[[#This Row],[wet_bulb_thermo]]+$F$1&lt;20,20,Таблица1[[#This Row],[wet_bulb_thermo]]+$F$1)</f>
        <v>20</v>
      </c>
      <c r="J67" s="9">
        <f>Таблица1[[#This Row],[Tcold]]+$I$1</f>
        <v>30</v>
      </c>
      <c r="K67" s="12" cm="1">
        <f t="array" ref="K67">evaporation(Таблица1[[#This Row],[Thot]],Таблица1[[#This Row],[Tcold]],Таблица1[[#This Row],[temp]],Таблица1[[#This Row],[humidity_ratio]],Таблица1[[#This Row],[pressure_kpa]])/$I$1</f>
        <v>1.3019034878364118E-3</v>
      </c>
      <c r="L67">
        <f>MONTH(Таблица1[[#This Row],[date]])</f>
        <v>2</v>
      </c>
      <c r="M67" t="str">
        <f>IF(AND(Таблица1[[#This Row],[month]]&gt;3, Таблица1[[#This Row],[month]]&lt;11),"SUMMER","WINTER")</f>
        <v>WINTER</v>
      </c>
    </row>
    <row r="68" spans="1:13" x14ac:dyDescent="0.25">
      <c r="A68" s="2">
        <v>44248</v>
      </c>
      <c r="B68" s="5">
        <v>16.875</v>
      </c>
      <c r="C68" s="5">
        <v>763.5</v>
      </c>
      <c r="D68" s="5">
        <v>40.875</v>
      </c>
      <c r="E68" s="5">
        <f>Таблица1[[#This Row],[pressure]]/760*101325</f>
        <v>101791.62828947369</v>
      </c>
      <c r="F68" s="7">
        <f>Таблица1[[#This Row],[humidity]]/100</f>
        <v>0.40875</v>
      </c>
      <c r="G68" s="5" cm="1">
        <f t="array" ref="G68">wet_bulb_temp(Таблица1[[#This Row],[temp]],Таблица1[[#This Row],[humidity_ratio]],Таблица1[[#This Row],[pressure_kpa]])</f>
        <v>9.9770601473034954</v>
      </c>
      <c r="H68" s="5" cm="1">
        <f t="array" ref="H68">wet_bulb_temp_simple(Таблица1[[#This Row],[temp]],Таблица1[[#This Row],[humidity]])</f>
        <v>9.8886269562714055</v>
      </c>
      <c r="I68" s="5">
        <f>IF(Таблица1[[#This Row],[wet_bulb_thermo]]+$F$1&lt;20,20,Таблица1[[#This Row],[wet_bulb_thermo]]+$F$1)</f>
        <v>20</v>
      </c>
      <c r="J68" s="9">
        <f>Таблица1[[#This Row],[Tcold]]+$I$1</f>
        <v>30</v>
      </c>
      <c r="K68" s="12" cm="1">
        <f t="array" ref="K68">evaporation(Таблица1[[#This Row],[Thot]],Таблица1[[#This Row],[Tcold]],Таблица1[[#This Row],[temp]],Таблица1[[#This Row],[humidity_ratio]],Таблица1[[#This Row],[pressure_kpa]])/$I$1</f>
        <v>1.3577983794874197E-3</v>
      </c>
      <c r="L68">
        <f>MONTH(Таблица1[[#This Row],[date]])</f>
        <v>2</v>
      </c>
      <c r="M68" t="str">
        <f>IF(AND(Таблица1[[#This Row],[month]]&gt;3, Таблица1[[#This Row],[month]]&lt;11),"SUMMER","WINTER")</f>
        <v>WINTER</v>
      </c>
    </row>
    <row r="69" spans="1:13" x14ac:dyDescent="0.25">
      <c r="A69" s="2">
        <v>44249</v>
      </c>
      <c r="B69" s="5">
        <v>17.412500000000001</v>
      </c>
      <c r="C69" s="5">
        <v>764.63750000000005</v>
      </c>
      <c r="D69" s="5">
        <v>37.75</v>
      </c>
      <c r="E69" s="5">
        <f>Таблица1[[#This Row],[pressure]]/760*101325</f>
        <v>101943.28248355263</v>
      </c>
      <c r="F69" s="7">
        <f>Таблица1[[#This Row],[humidity]]/100</f>
        <v>0.3775</v>
      </c>
      <c r="G69" s="5" cm="1">
        <f t="array" ref="G69">wet_bulb_temp(Таблица1[[#This Row],[temp]],Таблица1[[#This Row],[humidity_ratio]],Таблица1[[#This Row],[pressure_kpa]])</f>
        <v>9.9694258684912427</v>
      </c>
      <c r="H69" s="5" cm="1">
        <f t="array" ref="H69">wet_bulb_temp_simple(Таблица1[[#This Row],[temp]],Таблица1[[#This Row],[humidity]])</f>
        <v>9.9208067565367433</v>
      </c>
      <c r="I69" s="5">
        <f>IF(Таблица1[[#This Row],[wet_bulb_thermo]]+$F$1&lt;20,20,Таблица1[[#This Row],[wet_bulb_thermo]]+$F$1)</f>
        <v>20</v>
      </c>
      <c r="J69" s="9">
        <f>Таблица1[[#This Row],[Tcold]]+$I$1</f>
        <v>30</v>
      </c>
      <c r="K69" s="12" cm="1">
        <f t="array" ref="K69">evaporation(Таблица1[[#This Row],[Thot]],Таблица1[[#This Row],[Tcold]],Таблица1[[#This Row],[temp]],Таблица1[[#This Row],[humidity_ratio]],Таблица1[[#This Row],[pressure_kpa]])/$I$1</f>
        <v>1.3706235978106006E-3</v>
      </c>
      <c r="L69">
        <f>MONTH(Таблица1[[#This Row],[date]])</f>
        <v>2</v>
      </c>
      <c r="M69" t="str">
        <f>IF(AND(Таблица1[[#This Row],[month]]&gt;3, Таблица1[[#This Row],[month]]&lt;11),"SUMMER","WINTER")</f>
        <v>WINTER</v>
      </c>
    </row>
    <row r="70" spans="1:13" x14ac:dyDescent="0.25">
      <c r="A70" s="2">
        <v>44250</v>
      </c>
      <c r="B70" s="5">
        <v>14.65</v>
      </c>
      <c r="C70" s="5">
        <v>764.15</v>
      </c>
      <c r="D70" s="5">
        <v>34</v>
      </c>
      <c r="E70" s="5">
        <f>Таблица1[[#This Row],[pressure]]/760*101325</f>
        <v>101878.28782894736</v>
      </c>
      <c r="F70" s="7">
        <f>Таблица1[[#This Row],[humidity]]/100</f>
        <v>0.34</v>
      </c>
      <c r="G70" s="5" cm="1">
        <f t="array" ref="G70">wet_bulb_temp(Таблица1[[#This Row],[temp]],Таблица1[[#This Row],[humidity_ratio]],Таблица1[[#This Row],[pressure_kpa]])</f>
        <v>7.4269566642286833</v>
      </c>
      <c r="H70" s="5" cm="1">
        <f t="array" ref="H70">wet_bulb_temp_simple(Таблица1[[#This Row],[temp]],Таблица1[[#This Row],[humidity]])</f>
        <v>7.2636081247347501</v>
      </c>
      <c r="I70" s="5">
        <f>IF(Таблица1[[#This Row],[wet_bulb_thermo]]+$F$1&lt;20,20,Таблица1[[#This Row],[wet_bulb_thermo]]+$F$1)</f>
        <v>20</v>
      </c>
      <c r="J70" s="9">
        <f>Таблица1[[#This Row],[Tcold]]+$I$1</f>
        <v>30</v>
      </c>
      <c r="K70" s="12" cm="1">
        <f t="array" ref="K70">evaporation(Таблица1[[#This Row],[Thot]],Таблица1[[#This Row],[Tcold]],Таблица1[[#This Row],[temp]],Таблица1[[#This Row],[humidity_ratio]],Таблица1[[#This Row],[pressure_kpa]])/$I$1</f>
        <v>1.3311464209984864E-3</v>
      </c>
      <c r="L70">
        <f>MONTH(Таблица1[[#This Row],[date]])</f>
        <v>2</v>
      </c>
      <c r="M70" t="str">
        <f>IF(AND(Таблица1[[#This Row],[month]]&gt;3, Таблица1[[#This Row],[month]]&lt;11),"SUMMER","WINTER")</f>
        <v>WINTER</v>
      </c>
    </row>
    <row r="71" spans="1:13" x14ac:dyDescent="0.25">
      <c r="A71" s="2">
        <v>44251</v>
      </c>
      <c r="B71" s="5">
        <v>15.012499999999999</v>
      </c>
      <c r="C71" s="5">
        <v>759.73749999999995</v>
      </c>
      <c r="D71" s="5">
        <v>44.75</v>
      </c>
      <c r="E71" s="5">
        <f>Таблица1[[#This Row],[pressure]]/760*101325</f>
        <v>101290.00287828947</v>
      </c>
      <c r="F71" s="7">
        <f>Таблица1[[#This Row],[humidity]]/100</f>
        <v>0.44750000000000001</v>
      </c>
      <c r="G71" s="5" cm="1">
        <f t="array" ref="G71">wet_bulb_temp(Таблица1[[#This Row],[temp]],Таблица1[[#This Row],[humidity_ratio]],Таблица1[[#This Row],[pressure_kpa]])</f>
        <v>9.0255495190749908</v>
      </c>
      <c r="H71" s="5" cm="1">
        <f t="array" ref="H71">wet_bulb_temp_simple(Таблица1[[#This Row],[temp]],Таблица1[[#This Row],[humidity]])</f>
        <v>8.8142016238834113</v>
      </c>
      <c r="I71" s="5">
        <f>IF(Таблица1[[#This Row],[wet_bulb_thermo]]+$F$1&lt;20,20,Таблица1[[#This Row],[wet_bulb_thermo]]+$F$1)</f>
        <v>20</v>
      </c>
      <c r="J71" s="9">
        <f>Таблица1[[#This Row],[Tcold]]+$I$1</f>
        <v>30</v>
      </c>
      <c r="K71" s="12" cm="1">
        <f t="array" ref="K71">evaporation(Таблица1[[#This Row],[Thot]],Таблица1[[#This Row],[Tcold]],Таблица1[[#This Row],[temp]],Таблица1[[#This Row],[humidity_ratio]],Таблица1[[#This Row],[pressure_kpa]])/$I$1</f>
        <v>1.3248839833441214E-3</v>
      </c>
      <c r="L71">
        <f>MONTH(Таблица1[[#This Row],[date]])</f>
        <v>2</v>
      </c>
      <c r="M71" t="str">
        <f>IF(AND(Таблица1[[#This Row],[month]]&gt;3, Таблица1[[#This Row],[month]]&lt;11),"SUMMER","WINTER")</f>
        <v>WINTER</v>
      </c>
    </row>
    <row r="72" spans="1:13" x14ac:dyDescent="0.25">
      <c r="A72" s="2">
        <v>44252</v>
      </c>
      <c r="B72" s="5">
        <v>14.1625</v>
      </c>
      <c r="C72" s="5">
        <v>760.16250000000002</v>
      </c>
      <c r="D72" s="5">
        <v>67.875</v>
      </c>
      <c r="E72" s="5">
        <f>Таблица1[[#This Row],[pressure]]/760*101325</f>
        <v>101346.66488486843</v>
      </c>
      <c r="F72" s="7">
        <f>Таблица1[[#This Row],[humidity]]/100</f>
        <v>0.67874999999999996</v>
      </c>
      <c r="G72" s="5" cm="1">
        <f t="array" ref="G72">wet_bulb_temp(Таблица1[[#This Row],[temp]],Таблица1[[#This Row],[humidity_ratio]],Таблица1[[#This Row],[pressure_kpa]])</f>
        <v>10.905695498151216</v>
      </c>
      <c r="H72" s="5" cm="1">
        <f t="array" ref="H72">wet_bulb_temp_simple(Таблица1[[#This Row],[temp]],Таблица1[[#This Row],[humidity]])</f>
        <v>10.612868923309771</v>
      </c>
      <c r="I72" s="5">
        <f>IF(Таблица1[[#This Row],[wet_bulb_thermo]]+$F$1&lt;20,20,Таблица1[[#This Row],[wet_bulb_thermo]]+$F$1)</f>
        <v>20.905695498151218</v>
      </c>
      <c r="J72" s="9">
        <f>Таблица1[[#This Row],[Tcold]]+$I$1</f>
        <v>30.905695498151218</v>
      </c>
      <c r="K72" s="12" cm="1">
        <f t="array" ref="K72">evaporation(Таблица1[[#This Row],[Thot]],Таблица1[[#This Row],[Tcold]],Таблица1[[#This Row],[temp]],Таблица1[[#This Row],[humidity_ratio]],Таблица1[[#This Row],[pressure_kpa]])/$I$1</f>
        <v>1.2853978238410719E-3</v>
      </c>
      <c r="L72">
        <f>MONTH(Таблица1[[#This Row],[date]])</f>
        <v>2</v>
      </c>
      <c r="M72" t="str">
        <f>IF(AND(Таблица1[[#This Row],[month]]&gt;3, Таблица1[[#This Row],[month]]&lt;11),"SUMMER","WINTER")</f>
        <v>WINTER</v>
      </c>
    </row>
    <row r="73" spans="1:13" x14ac:dyDescent="0.25">
      <c r="A73" s="2">
        <v>44253</v>
      </c>
      <c r="B73" s="5">
        <v>16.012499999999999</v>
      </c>
      <c r="C73" s="5">
        <v>760.5</v>
      </c>
      <c r="D73" s="5">
        <v>60</v>
      </c>
      <c r="E73" s="5">
        <f>Таблица1[[#This Row],[pressure]]/760*101325</f>
        <v>101391.66118421052</v>
      </c>
      <c r="F73" s="7">
        <f>Таблица1[[#This Row],[humidity]]/100</f>
        <v>0.6</v>
      </c>
      <c r="G73" s="5" cm="1">
        <f t="array" ref="G73">wet_bulb_temp(Таблица1[[#This Row],[temp]],Таблица1[[#This Row],[humidity_ratio]],Таблица1[[#This Row],[pressure_kpa]])</f>
        <v>11.644665315926696</v>
      </c>
      <c r="H73" s="5" cm="1">
        <f t="array" ref="H73">wet_bulb_temp_simple(Таблица1[[#This Row],[temp]],Таблица1[[#This Row],[humidity]])</f>
        <v>11.426584841115304</v>
      </c>
      <c r="I73" s="5">
        <f>IF(Таблица1[[#This Row],[wet_bulb_thermo]]+$F$1&lt;20,20,Таблица1[[#This Row],[wet_bulb_thermo]]+$F$1)</f>
        <v>21.644665315926694</v>
      </c>
      <c r="J73" s="9">
        <f>Таблица1[[#This Row],[Tcold]]+$I$1</f>
        <v>31.644665315926694</v>
      </c>
      <c r="K73" s="12" cm="1">
        <f t="array" ref="K73">evaporation(Таблица1[[#This Row],[Thot]],Таблица1[[#This Row],[Tcold]],Таблица1[[#This Row],[temp]],Таблица1[[#This Row],[humidity_ratio]],Таблица1[[#This Row],[pressure_kpa]])/$I$1</f>
        <v>1.3226228544881632E-3</v>
      </c>
      <c r="L73">
        <f>MONTH(Таблица1[[#This Row],[date]])</f>
        <v>2</v>
      </c>
      <c r="M73" t="str">
        <f>IF(AND(Таблица1[[#This Row],[month]]&gt;3, Таблица1[[#This Row],[month]]&lt;11),"SUMMER","WINTER")</f>
        <v>WINTER</v>
      </c>
    </row>
    <row r="74" spans="1:13" x14ac:dyDescent="0.25">
      <c r="A74" s="2">
        <v>44254</v>
      </c>
      <c r="B74" s="5">
        <v>17.012499999999999</v>
      </c>
      <c r="C74" s="5">
        <v>760.35</v>
      </c>
      <c r="D74" s="5">
        <v>44</v>
      </c>
      <c r="E74" s="5">
        <f>Таблица1[[#This Row],[pressure]]/760*101325</f>
        <v>101371.66282894737</v>
      </c>
      <c r="F74" s="7">
        <f>Таблица1[[#This Row],[humidity]]/100</f>
        <v>0.44</v>
      </c>
      <c r="G74" s="5" cm="1">
        <f t="array" ref="G74">wet_bulb_temp(Таблица1[[#This Row],[temp]],Таблица1[[#This Row],[humidity_ratio]],Таблица1[[#This Row],[pressure_kpa]])</f>
        <v>10.509986487043815</v>
      </c>
      <c r="H74" s="5" cm="1">
        <f t="array" ref="H74">wet_bulb_temp_simple(Таблица1[[#This Row],[temp]],Таблица1[[#This Row],[humidity]])</f>
        <v>10.39383296856453</v>
      </c>
      <c r="I74" s="5">
        <f>IF(Таблица1[[#This Row],[wet_bulb_thermo]]+$F$1&lt;20,20,Таблица1[[#This Row],[wet_bulb_thermo]]+$F$1)</f>
        <v>20.509986487043815</v>
      </c>
      <c r="J74" s="9">
        <f>Таблица1[[#This Row],[Tcold]]+$I$1</f>
        <v>30.509986487043815</v>
      </c>
      <c r="K74" s="12" cm="1">
        <f t="array" ref="K74">evaporation(Таблица1[[#This Row],[Thot]],Таблица1[[#This Row],[Tcold]],Таблица1[[#This Row],[temp]],Таблица1[[#This Row],[humidity_ratio]],Таблица1[[#This Row],[pressure_kpa]])/$I$1</f>
        <v>1.3566724173286445E-3</v>
      </c>
      <c r="L74">
        <f>MONTH(Таблица1[[#This Row],[date]])</f>
        <v>2</v>
      </c>
      <c r="M74" t="str">
        <f>IF(AND(Таблица1[[#This Row],[month]]&gt;3, Таблица1[[#This Row],[month]]&lt;11),"SUMMER","WINTER")</f>
        <v>WINTER</v>
      </c>
    </row>
    <row r="75" spans="1:13" x14ac:dyDescent="0.25">
      <c r="A75" s="2">
        <v>44255</v>
      </c>
      <c r="B75" s="5">
        <v>17.387499999999999</v>
      </c>
      <c r="C75" s="5">
        <v>759.6875</v>
      </c>
      <c r="D75" s="5">
        <v>44.25</v>
      </c>
      <c r="E75" s="5">
        <f>Таблица1[[#This Row],[pressure]]/760*101325</f>
        <v>101283.33675986841</v>
      </c>
      <c r="F75" s="7">
        <f>Таблица1[[#This Row],[humidity]]/100</f>
        <v>0.4425</v>
      </c>
      <c r="G75" s="5" cm="1">
        <f t="array" ref="G75">wet_bulb_temp(Таблица1[[#This Row],[temp]],Таблица1[[#This Row],[humidity_ratio]],Таблица1[[#This Row],[pressure_kpa]])</f>
        <v>10.842985944202681</v>
      </c>
      <c r="H75" s="5" cm="1">
        <f t="array" ref="H75">wet_bulb_temp_simple(Таблица1[[#This Row],[temp]],Таблица1[[#This Row],[humidity]])</f>
        <v>10.73773770904852</v>
      </c>
      <c r="I75" s="5">
        <f>IF(Таблица1[[#This Row],[wet_bulb_thermo]]+$F$1&lt;20,20,Таблица1[[#This Row],[wet_bulb_thermo]]+$F$1)</f>
        <v>20.842985944202681</v>
      </c>
      <c r="J75" s="9">
        <f>Таблица1[[#This Row],[Tcold]]+$I$1</f>
        <v>30.842985944202681</v>
      </c>
      <c r="K75" s="12" cm="1">
        <f t="array" ref="K75">evaporation(Таблица1[[#This Row],[Thot]],Таблица1[[#This Row],[Tcold]],Таблица1[[#This Row],[temp]],Таблица1[[#This Row],[humidity_ratio]],Таблица1[[#This Row],[pressure_kpa]])/$I$1</f>
        <v>1.3623978642460231E-3</v>
      </c>
      <c r="L75">
        <f>MONTH(Таблица1[[#This Row],[date]])</f>
        <v>2</v>
      </c>
      <c r="M75" t="str">
        <f>IF(AND(Таблица1[[#This Row],[month]]&gt;3, Таблица1[[#This Row],[month]]&lt;11),"SUMMER","WINTER")</f>
        <v>WINTER</v>
      </c>
    </row>
    <row r="76" spans="1:13" x14ac:dyDescent="0.25">
      <c r="A76" s="2">
        <v>44256</v>
      </c>
      <c r="B76" s="5">
        <v>15.512499999999999</v>
      </c>
      <c r="C76" s="5">
        <v>760.3125</v>
      </c>
      <c r="D76" s="5">
        <v>75.625</v>
      </c>
      <c r="E76" s="5">
        <f>Таблица1[[#This Row],[pressure]]/760*101325</f>
        <v>101366.66324013159</v>
      </c>
      <c r="F76" s="7">
        <f>Таблица1[[#This Row],[humidity]]/100</f>
        <v>0.75624999999999998</v>
      </c>
      <c r="G76" s="5" cm="1">
        <f t="array" ref="G76">wet_bulb_temp(Таблица1[[#This Row],[temp]],Таблица1[[#This Row],[humidity_ratio]],Таблица1[[#This Row],[pressure_kpa]])</f>
        <v>12.959093491708755</v>
      </c>
      <c r="H76" s="5" cm="1">
        <f t="array" ref="H76">wet_bulb_temp_simple(Таблица1[[#This Row],[temp]],Таблица1[[#This Row],[humidity]])</f>
        <v>12.729957514844731</v>
      </c>
      <c r="I76" s="5">
        <f>IF(Таблица1[[#This Row],[wet_bulb_thermo]]+$F$1&lt;20,20,Таблица1[[#This Row],[wet_bulb_thermo]]+$F$1)</f>
        <v>22.959093491708757</v>
      </c>
      <c r="J76" s="9">
        <f>Таблица1[[#This Row],[Tcold]]+$I$1</f>
        <v>32.959093491708757</v>
      </c>
      <c r="K76" s="12" cm="1">
        <f t="array" ref="K76">evaporation(Таблица1[[#This Row],[Thot]],Таблица1[[#This Row],[Tcold]],Таблица1[[#This Row],[temp]],Таблица1[[#This Row],[humidity_ratio]],Таблица1[[#This Row],[pressure_kpa]])/$I$1</f>
        <v>1.3026517926622619E-3</v>
      </c>
      <c r="L76">
        <f>MONTH(Таблица1[[#This Row],[date]])</f>
        <v>3</v>
      </c>
      <c r="M76" t="str">
        <f>IF(AND(Таблица1[[#This Row],[month]]&gt;3, Таблица1[[#This Row],[month]]&lt;11),"SUMMER","WINTER")</f>
        <v>WINTER</v>
      </c>
    </row>
    <row r="77" spans="1:13" x14ac:dyDescent="0.25">
      <c r="A77" s="2">
        <v>44257</v>
      </c>
      <c r="B77" s="5">
        <v>16.737500000000001</v>
      </c>
      <c r="C77" s="5">
        <v>762.2</v>
      </c>
      <c r="D77" s="5">
        <v>64.75</v>
      </c>
      <c r="E77" s="5">
        <f>Таблица1[[#This Row],[pressure]]/760*101325</f>
        <v>101618.30921052632</v>
      </c>
      <c r="F77" s="7">
        <f>Таблица1[[#This Row],[humidity]]/100</f>
        <v>0.64749999999999996</v>
      </c>
      <c r="G77" s="5" cm="1">
        <f t="array" ref="G77">wet_bulb_temp(Таблица1[[#This Row],[temp]],Таблица1[[#This Row],[humidity_ratio]],Таблица1[[#This Row],[pressure_kpa]])</f>
        <v>12.814172949579586</v>
      </c>
      <c r="H77" s="5" cm="1">
        <f t="array" ref="H77">wet_bulb_temp_simple(Таблица1[[#This Row],[temp]],Таблица1[[#This Row],[humidity]])</f>
        <v>12.631982841089521</v>
      </c>
      <c r="I77" s="5">
        <f>IF(Таблица1[[#This Row],[wet_bulb_thermo]]+$F$1&lt;20,20,Таблица1[[#This Row],[wet_bulb_thermo]]+$F$1)</f>
        <v>22.814172949579586</v>
      </c>
      <c r="J77" s="9">
        <f>Таблица1[[#This Row],[Tcold]]+$I$1</f>
        <v>32.814172949579586</v>
      </c>
      <c r="K77" s="12" cm="1">
        <f t="array" ref="K77">evaporation(Таблица1[[#This Row],[Thot]],Таблица1[[#This Row],[Tcold]],Таблица1[[#This Row],[temp]],Таблица1[[#This Row],[humidity_ratio]],Таблица1[[#This Row],[pressure_kpa]])/$I$1</f>
        <v>1.3292731337630913E-3</v>
      </c>
      <c r="L77">
        <f>MONTH(Таблица1[[#This Row],[date]])</f>
        <v>3</v>
      </c>
      <c r="M77" t="str">
        <f>IF(AND(Таблица1[[#This Row],[month]]&gt;3, Таблица1[[#This Row],[month]]&lt;11),"SUMMER","WINTER")</f>
        <v>WINTER</v>
      </c>
    </row>
    <row r="78" spans="1:13" x14ac:dyDescent="0.25">
      <c r="A78" s="2">
        <v>44258</v>
      </c>
      <c r="B78" s="5">
        <v>18.524999999999999</v>
      </c>
      <c r="C78" s="5">
        <v>761.21249999999998</v>
      </c>
      <c r="D78" s="5">
        <v>52</v>
      </c>
      <c r="E78" s="5">
        <f>Таблица1[[#This Row],[pressure]]/760*101325</f>
        <v>101486.65337171053</v>
      </c>
      <c r="F78" s="7">
        <f>Таблица1[[#This Row],[humidity]]/100</f>
        <v>0.52</v>
      </c>
      <c r="G78" s="5" cm="1">
        <f t="array" ref="G78">wet_bulb_temp(Таблица1[[#This Row],[temp]],Таблица1[[#This Row],[humidity_ratio]],Таблица1[[#This Row],[pressure_kpa]])</f>
        <v>12.763034106031894</v>
      </c>
      <c r="H78" s="5" cm="1">
        <f t="array" ref="H78">wet_bulb_temp_simple(Таблица1[[#This Row],[temp]],Таблица1[[#This Row],[humidity]])</f>
        <v>12.685411996553384</v>
      </c>
      <c r="I78" s="5">
        <f>IF(Таблица1[[#This Row],[wet_bulb_thermo]]+$F$1&lt;20,20,Таблица1[[#This Row],[wet_bulb_thermo]]+$F$1)</f>
        <v>22.763034106031895</v>
      </c>
      <c r="J78" s="9">
        <f>Таблица1[[#This Row],[Tcold]]+$I$1</f>
        <v>32.763034106031895</v>
      </c>
      <c r="K78" s="12" cm="1">
        <f t="array" ref="K78">evaporation(Таблица1[[#This Row],[Thot]],Таблица1[[#This Row],[Tcold]],Таблица1[[#This Row],[temp]],Таблица1[[#This Row],[humidity_ratio]],Таблица1[[#This Row],[pressure_kpa]])/$I$1</f>
        <v>1.3693100803552384E-3</v>
      </c>
      <c r="L78">
        <f>MONTH(Таблица1[[#This Row],[date]])</f>
        <v>3</v>
      </c>
      <c r="M78" t="str">
        <f>IF(AND(Таблица1[[#This Row],[month]]&gt;3, Таблица1[[#This Row],[month]]&lt;11),"SUMMER","WINTER")</f>
        <v>WINTER</v>
      </c>
    </row>
    <row r="79" spans="1:13" x14ac:dyDescent="0.25">
      <c r="A79" s="2">
        <v>44259</v>
      </c>
      <c r="B79" s="5">
        <v>19.05</v>
      </c>
      <c r="C79" s="5">
        <v>758.03750000000002</v>
      </c>
      <c r="D79" s="5">
        <v>54.375</v>
      </c>
      <c r="E79" s="5">
        <f>Таблица1[[#This Row],[pressure]]/760*101325</f>
        <v>101063.35485197369</v>
      </c>
      <c r="F79" s="7">
        <f>Таблица1[[#This Row],[humidity]]/100</f>
        <v>0.54374999999999996</v>
      </c>
      <c r="G79" s="5" cm="1">
        <f t="array" ref="G79">wet_bulb_temp(Таблица1[[#This Row],[temp]],Таблица1[[#This Row],[humidity_ratio]],Таблица1[[#This Row],[pressure_kpa]])</f>
        <v>13.542059780413584</v>
      </c>
      <c r="H79" s="5" cm="1">
        <f t="array" ref="H79">wet_bulb_temp_simple(Таблица1[[#This Row],[temp]],Таблица1[[#This Row],[humidity]])</f>
        <v>13.445451928432924</v>
      </c>
      <c r="I79" s="5">
        <f>IF(Таблица1[[#This Row],[wet_bulb_thermo]]+$F$1&lt;20,20,Таблица1[[#This Row],[wet_bulb_thermo]]+$F$1)</f>
        <v>23.542059780413584</v>
      </c>
      <c r="J79" s="9">
        <f>Таблица1[[#This Row],[Tcold]]+$I$1</f>
        <v>33.542059780413581</v>
      </c>
      <c r="K79" s="12" cm="1">
        <f t="array" ref="K79">evaporation(Таблица1[[#This Row],[Thot]],Таблица1[[#This Row],[Tcold]],Таблица1[[#This Row],[temp]],Таблица1[[#This Row],[humidity_ratio]],Таблица1[[#This Row],[pressure_kpa]])/$I$1</f>
        <v>1.3755439017625599E-3</v>
      </c>
      <c r="L79">
        <f>MONTH(Таблица1[[#This Row],[date]])</f>
        <v>3</v>
      </c>
      <c r="M79" t="str">
        <f>IF(AND(Таблица1[[#This Row],[month]]&gt;3, Таблица1[[#This Row],[month]]&lt;11),"SUMMER","WINTER")</f>
        <v>WINTER</v>
      </c>
    </row>
    <row r="80" spans="1:13" x14ac:dyDescent="0.25">
      <c r="A80" s="2">
        <v>44260</v>
      </c>
      <c r="B80" s="5">
        <v>19.362500000000001</v>
      </c>
      <c r="C80" s="5">
        <v>759.98749999999995</v>
      </c>
      <c r="D80" s="5">
        <v>43.875</v>
      </c>
      <c r="E80" s="5">
        <f>Таблица1[[#This Row],[pressure]]/760*101325</f>
        <v>101323.33347039473</v>
      </c>
      <c r="F80" s="7">
        <f>Таблица1[[#This Row],[humidity]]/100</f>
        <v>0.43874999999999997</v>
      </c>
      <c r="G80" s="5" cm="1">
        <f t="array" ref="G80">wet_bulb_temp(Таблица1[[#This Row],[temp]],Таблица1[[#This Row],[humidity_ratio]],Таблица1[[#This Row],[pressure_kpa]])</f>
        <v>12.344316794775159</v>
      </c>
      <c r="H80" s="5" cm="1">
        <f t="array" ref="H80">wet_bulb_temp_simple(Таблица1[[#This Row],[temp]],Таблица1[[#This Row],[humidity]])</f>
        <v>12.334144370412654</v>
      </c>
      <c r="I80" s="5">
        <f>IF(Таблица1[[#This Row],[wet_bulb_thermo]]+$F$1&lt;20,20,Таблица1[[#This Row],[wet_bulb_thermo]]+$F$1)</f>
        <v>22.34431679477516</v>
      </c>
      <c r="J80" s="9">
        <f>Таблица1[[#This Row],[Tcold]]+$I$1</f>
        <v>32.34431679477516</v>
      </c>
      <c r="K80" s="12" cm="1">
        <f t="array" ref="K80">evaporation(Таблица1[[#This Row],[Thot]],Таблица1[[#This Row],[Tcold]],Таблица1[[#This Row],[temp]],Таблица1[[#This Row],[humidity_ratio]],Таблица1[[#This Row],[pressure_kpa]])/$I$1</f>
        <v>1.3922649590076934E-3</v>
      </c>
      <c r="L80">
        <f>MONTH(Таблица1[[#This Row],[date]])</f>
        <v>3</v>
      </c>
      <c r="M80" t="str">
        <f>IF(AND(Таблица1[[#This Row],[month]]&gt;3, Таблица1[[#This Row],[month]]&lt;11),"SUMMER","WINTER")</f>
        <v>WINTER</v>
      </c>
    </row>
    <row r="81" spans="1:13" x14ac:dyDescent="0.25">
      <c r="A81" s="2">
        <v>44261</v>
      </c>
      <c r="B81" s="5">
        <v>18.425000000000001</v>
      </c>
      <c r="C81" s="5">
        <v>762.53750000000002</v>
      </c>
      <c r="D81" s="5">
        <v>49.5</v>
      </c>
      <c r="E81" s="5">
        <f>Таблица1[[#This Row],[pressure]]/760*101325</f>
        <v>101663.30550986843</v>
      </c>
      <c r="F81" s="7">
        <f>Таблица1[[#This Row],[humidity]]/100</f>
        <v>0.495</v>
      </c>
      <c r="G81" s="5" cm="1">
        <f t="array" ref="G81">wet_bulb_temp(Таблица1[[#This Row],[temp]],Таблица1[[#This Row],[humidity_ratio]],Таблица1[[#This Row],[pressure_kpa]])</f>
        <v>12.34011556224724</v>
      </c>
      <c r="H81" s="5" cm="1">
        <f t="array" ref="H81">wet_bulb_temp_simple(Таблица1[[#This Row],[temp]],Таблица1[[#This Row],[humidity]])</f>
        <v>12.281495259660783</v>
      </c>
      <c r="I81" s="5">
        <f>IF(Таблица1[[#This Row],[wet_bulb_thermo]]+$F$1&lt;20,20,Таблица1[[#This Row],[wet_bulb_thermo]]+$F$1)</f>
        <v>22.340115562247242</v>
      </c>
      <c r="J81" s="9">
        <f>Таблица1[[#This Row],[Tcold]]+$I$1</f>
        <v>32.340115562247242</v>
      </c>
      <c r="K81" s="12" cm="1">
        <f t="array" ref="K81">evaporation(Таблица1[[#This Row],[Thot]],Таблица1[[#This Row],[Tcold]],Таблица1[[#This Row],[temp]],Таблица1[[#This Row],[humidity_ratio]],Таблица1[[#This Row],[pressure_kpa]])/$I$1</f>
        <v>1.3702935096657032E-3</v>
      </c>
      <c r="L81">
        <f>MONTH(Таблица1[[#This Row],[date]])</f>
        <v>3</v>
      </c>
      <c r="M81" t="str">
        <f>IF(AND(Таблица1[[#This Row],[month]]&gt;3, Таблица1[[#This Row],[month]]&lt;11),"SUMMER","WINTER")</f>
        <v>WINTER</v>
      </c>
    </row>
    <row r="82" spans="1:13" x14ac:dyDescent="0.25">
      <c r="A82" s="2">
        <v>44262</v>
      </c>
      <c r="B82" s="5">
        <v>17.875</v>
      </c>
      <c r="C82" s="5">
        <v>759.9375</v>
      </c>
      <c r="D82" s="5">
        <v>48.75</v>
      </c>
      <c r="E82" s="5">
        <f>Таблица1[[#This Row],[pressure]]/760*101325</f>
        <v>101316.66735197368</v>
      </c>
      <c r="F82" s="7">
        <f>Таблица1[[#This Row],[humidity]]/100</f>
        <v>0.48749999999999999</v>
      </c>
      <c r="G82" s="5" cm="1">
        <f t="array" ref="G82">wet_bulb_temp(Таблица1[[#This Row],[temp]],Таблица1[[#This Row],[humidity_ratio]],Таблица1[[#This Row],[pressure_kpa]])</f>
        <v>11.817629360229072</v>
      </c>
      <c r="H82" s="5" cm="1">
        <f t="array" ref="H82">wet_bulb_temp_simple(Таблица1[[#This Row],[temp]],Таблица1[[#This Row],[humidity]])</f>
        <v>11.715743707470917</v>
      </c>
      <c r="I82" s="5">
        <f>IF(Таблица1[[#This Row],[wet_bulb_thermo]]+$F$1&lt;20,20,Таблица1[[#This Row],[wet_bulb_thermo]]+$F$1)</f>
        <v>21.81762936022907</v>
      </c>
      <c r="J82" s="9">
        <f>Таблица1[[#This Row],[Tcold]]+$I$1</f>
        <v>31.81762936022907</v>
      </c>
      <c r="K82" s="12" cm="1">
        <f t="array" ref="K82">evaporation(Таблица1[[#This Row],[Thot]],Таблица1[[#This Row],[Tcold]],Таблица1[[#This Row],[temp]],Таблица1[[#This Row],[humidity_ratio]],Таблица1[[#This Row],[pressure_kpa]])/$I$1</f>
        <v>1.3639197638708916E-3</v>
      </c>
      <c r="L82">
        <f>MONTH(Таблица1[[#This Row],[date]])</f>
        <v>3</v>
      </c>
      <c r="M82" t="str">
        <f>IF(AND(Таблица1[[#This Row],[month]]&gt;3, Таблица1[[#This Row],[month]]&lt;11),"SUMMER","WINTER")</f>
        <v>WINTER</v>
      </c>
    </row>
    <row r="83" spans="1:13" x14ac:dyDescent="0.25">
      <c r="A83" s="2">
        <v>44263</v>
      </c>
      <c r="B83" s="5">
        <v>18.762499999999999</v>
      </c>
      <c r="C83" s="5">
        <v>758.08749999999998</v>
      </c>
      <c r="D83" s="5">
        <v>39.5</v>
      </c>
      <c r="E83" s="5">
        <f>Таблица1[[#This Row],[pressure]]/760*101325</f>
        <v>101070.02097039473</v>
      </c>
      <c r="F83" s="7">
        <f>Таблица1[[#This Row],[humidity]]/100</f>
        <v>0.39500000000000002</v>
      </c>
      <c r="G83" s="5" cm="1">
        <f t="array" ref="G83">wet_bulb_temp(Таблица1[[#This Row],[temp]],Таблица1[[#This Row],[humidity_ratio]],Таблица1[[#This Row],[pressure_kpa]])</f>
        <v>11.279873793996115</v>
      </c>
      <c r="H83" s="5" cm="1">
        <f t="array" ref="H83">wet_bulb_temp_simple(Таблица1[[#This Row],[temp]],Таблица1[[#This Row],[humidity]])</f>
        <v>11.244183108095575</v>
      </c>
      <c r="I83" s="5">
        <f>IF(Таблица1[[#This Row],[wet_bulb_thermo]]+$F$1&lt;20,20,Таблица1[[#This Row],[wet_bulb_thermo]]+$F$1)</f>
        <v>21.279873793996117</v>
      </c>
      <c r="J83" s="9">
        <f>Таблица1[[#This Row],[Tcold]]+$I$1</f>
        <v>31.279873793996117</v>
      </c>
      <c r="K83" s="12" cm="1">
        <f t="array" ref="K83">evaporation(Таблица1[[#This Row],[Thot]],Таблица1[[#This Row],[Tcold]],Таблица1[[#This Row],[temp]],Таблица1[[#This Row],[humidity_ratio]],Таблица1[[#This Row],[pressure_kpa]])/$I$1</f>
        <v>1.3906094437211932E-3</v>
      </c>
      <c r="L83">
        <f>MONTH(Таблица1[[#This Row],[date]])</f>
        <v>3</v>
      </c>
      <c r="M83" t="str">
        <f>IF(AND(Таблица1[[#This Row],[month]]&gt;3, Таблица1[[#This Row],[month]]&lt;11),"SUMMER","WINTER")</f>
        <v>WINTER</v>
      </c>
    </row>
    <row r="84" spans="1:13" x14ac:dyDescent="0.25">
      <c r="A84" s="2">
        <v>44264</v>
      </c>
      <c r="B84" s="5">
        <v>19.925000000000001</v>
      </c>
      <c r="C84" s="5">
        <v>757.98749999999995</v>
      </c>
      <c r="D84" s="5">
        <v>46</v>
      </c>
      <c r="E84" s="5">
        <f>Таблица1[[#This Row],[pressure]]/760*101325</f>
        <v>101056.68873355263</v>
      </c>
      <c r="F84" s="7">
        <f>Таблица1[[#This Row],[humidity]]/100</f>
        <v>0.46</v>
      </c>
      <c r="G84" s="5" cm="1">
        <f t="array" ref="G84">wet_bulb_temp(Таблица1[[#This Row],[temp]],Таблица1[[#This Row],[humidity_ratio]],Таблица1[[#This Row],[pressure_kpa]])</f>
        <v>13.106147126022444</v>
      </c>
      <c r="H84" s="5" cm="1">
        <f t="array" ref="H84">wet_bulb_temp_simple(Таблица1[[#This Row],[temp]],Таблица1[[#This Row],[humidity]])</f>
        <v>13.094623356872738</v>
      </c>
      <c r="I84" s="5">
        <f>IF(Таблица1[[#This Row],[wet_bulb_thermo]]+$F$1&lt;20,20,Таблица1[[#This Row],[wet_bulb_thermo]]+$F$1)</f>
        <v>23.106147126022442</v>
      </c>
      <c r="J84" s="9">
        <f>Таблица1[[#This Row],[Tcold]]+$I$1</f>
        <v>33.106147126022442</v>
      </c>
      <c r="K84" s="12" cm="1">
        <f t="array" ref="K84">evaporation(Таблица1[[#This Row],[Thot]],Таблица1[[#This Row],[Tcold]],Таблица1[[#This Row],[temp]],Таблица1[[#This Row],[humidity_ratio]],Таблица1[[#This Row],[pressure_kpa]])/$I$1</f>
        <v>1.398013308793517E-3</v>
      </c>
      <c r="L84">
        <f>MONTH(Таблица1[[#This Row],[date]])</f>
        <v>3</v>
      </c>
      <c r="M84" t="str">
        <f>IF(AND(Таблица1[[#This Row],[month]]&gt;3, Таблица1[[#This Row],[month]]&lt;11),"SUMMER","WINTER")</f>
        <v>WINTER</v>
      </c>
    </row>
    <row r="85" spans="1:13" x14ac:dyDescent="0.25">
      <c r="A85" s="2">
        <v>44265</v>
      </c>
      <c r="B85" s="5">
        <v>21.037500000000001</v>
      </c>
      <c r="C85" s="5">
        <v>760.11249999999995</v>
      </c>
      <c r="D85" s="5">
        <v>38.125</v>
      </c>
      <c r="E85" s="5">
        <f>Таблица1[[#This Row],[pressure]]/760*101325</f>
        <v>101339.99876644736</v>
      </c>
      <c r="F85" s="7">
        <f>Таблица1[[#This Row],[humidity]]/100</f>
        <v>0.38124999999999998</v>
      </c>
      <c r="G85" s="5" cm="1">
        <f t="array" ref="G85">wet_bulb_temp(Таблица1[[#This Row],[temp]],Таблица1[[#This Row],[humidity_ratio]],Таблица1[[#This Row],[pressure_kpa]])</f>
        <v>12.790238869185004</v>
      </c>
      <c r="H85" s="5" cm="1">
        <f t="array" ref="H85">wet_bulb_temp_simple(Таблица1[[#This Row],[temp]],Таблица1[[#This Row],[humidity]])</f>
        <v>12.881843640207148</v>
      </c>
      <c r="I85" s="5">
        <f>IF(Таблица1[[#This Row],[wet_bulb_thermo]]+$F$1&lt;20,20,Таблица1[[#This Row],[wet_bulb_thermo]]+$F$1)</f>
        <v>22.790238869185004</v>
      </c>
      <c r="J85" s="9">
        <f>Таблица1[[#This Row],[Tcold]]+$I$1</f>
        <v>32.790238869185004</v>
      </c>
      <c r="K85" s="12" cm="1">
        <f t="array" ref="K85">evaporation(Таблица1[[#This Row],[Thot]],Таблица1[[#This Row],[Tcold]],Таблица1[[#This Row],[temp]],Таблица1[[#This Row],[humidity_ratio]],Таблица1[[#This Row],[pressure_kpa]])/$I$1</f>
        <v>1.4245366767751551E-3</v>
      </c>
      <c r="L85">
        <f>MONTH(Таблица1[[#This Row],[date]])</f>
        <v>3</v>
      </c>
      <c r="M85" t="str">
        <f>IF(AND(Таблица1[[#This Row],[month]]&gt;3, Таблица1[[#This Row],[month]]&lt;11),"SUMMER","WINTER")</f>
        <v>WINTER</v>
      </c>
    </row>
    <row r="86" spans="1:13" x14ac:dyDescent="0.25">
      <c r="A86" s="2">
        <v>44266</v>
      </c>
      <c r="B86" s="5">
        <v>22.475000000000001</v>
      </c>
      <c r="C86" s="5">
        <v>757.3</v>
      </c>
      <c r="D86" s="5">
        <v>38.25</v>
      </c>
      <c r="E86" s="5">
        <f>Таблица1[[#This Row],[pressure]]/760*101325</f>
        <v>100965.02960526315</v>
      </c>
      <c r="F86" s="7">
        <f>Таблица1[[#This Row],[humidity]]/100</f>
        <v>0.38250000000000001</v>
      </c>
      <c r="G86" s="5" cm="1">
        <f t="array" ref="G86">wet_bulb_temp(Таблица1[[#This Row],[temp]],Таблица1[[#This Row],[humidity_ratio]],Таблица1[[#This Row],[pressure_kpa]])</f>
        <v>13.917121048606161</v>
      </c>
      <c r="H86" s="5" cm="1">
        <f t="array" ref="H86">wet_bulb_temp_simple(Таблица1[[#This Row],[temp]],Таблица1[[#This Row],[humidity]])</f>
        <v>14.056252168897258</v>
      </c>
      <c r="I86" s="5">
        <f>IF(Таблица1[[#This Row],[wet_bulb_thermo]]+$F$1&lt;20,20,Таблица1[[#This Row],[wet_bulb_thermo]]+$F$1)</f>
        <v>23.917121048606163</v>
      </c>
      <c r="J86" s="9">
        <f>Таблица1[[#This Row],[Tcold]]+$I$1</f>
        <v>33.917121048606163</v>
      </c>
      <c r="K86" s="12" cm="1">
        <f t="array" ref="K86">evaporation(Таблица1[[#This Row],[Thot]],Таблица1[[#This Row],[Tcold]],Таблица1[[#This Row],[temp]],Таблица1[[#This Row],[humidity_ratio]],Таблица1[[#This Row],[pressure_kpa]])/$I$1</f>
        <v>1.4441869609671612E-3</v>
      </c>
      <c r="L86">
        <f>MONTH(Таблица1[[#This Row],[date]])</f>
        <v>3</v>
      </c>
      <c r="M86" t="str">
        <f>IF(AND(Таблица1[[#This Row],[month]]&gt;3, Таблица1[[#This Row],[month]]&lt;11),"SUMMER","WINTER")</f>
        <v>WINTER</v>
      </c>
    </row>
    <row r="87" spans="1:13" x14ac:dyDescent="0.25">
      <c r="A87" s="2">
        <v>44267</v>
      </c>
      <c r="B87" s="5">
        <v>23.537500000000001</v>
      </c>
      <c r="C87" s="5">
        <v>750.7</v>
      </c>
      <c r="D87" s="5">
        <v>36</v>
      </c>
      <c r="E87" s="5">
        <f>Таблица1[[#This Row],[pressure]]/760*101325</f>
        <v>100085.10197368421</v>
      </c>
      <c r="F87" s="7">
        <f>Таблица1[[#This Row],[humidity]]/100</f>
        <v>0.36</v>
      </c>
      <c r="G87" s="5" cm="1">
        <f t="array" ref="G87">wet_bulb_temp(Таблица1[[#This Row],[temp]],Таблица1[[#This Row],[humidity_ratio]],Таблица1[[#This Row],[pressure_kpa]])</f>
        <v>14.393926250280952</v>
      </c>
      <c r="H87" s="5" cm="1">
        <f t="array" ref="H87">wet_bulb_temp_simple(Таблица1[[#This Row],[temp]],Таблица1[[#This Row],[humidity]])</f>
        <v>14.536517494278204</v>
      </c>
      <c r="I87" s="5">
        <f>IF(Таблица1[[#This Row],[wet_bulb_thermo]]+$F$1&lt;20,20,Таблица1[[#This Row],[wet_bulb_thermo]]+$F$1)</f>
        <v>24.393926250280952</v>
      </c>
      <c r="J87" s="9">
        <f>Таблица1[[#This Row],[Tcold]]+$I$1</f>
        <v>34.393926250280956</v>
      </c>
      <c r="K87" s="12" cm="1">
        <f t="array" ref="K87">evaporation(Таблица1[[#This Row],[Thot]],Таблица1[[#This Row],[Tcold]],Таблица1[[#This Row],[temp]],Таблица1[[#This Row],[humidity_ratio]],Таблица1[[#This Row],[pressure_kpa]])/$I$1</f>
        <v>1.4631998249145207E-3</v>
      </c>
      <c r="L87">
        <f>MONTH(Таблица1[[#This Row],[date]])</f>
        <v>3</v>
      </c>
      <c r="M87" t="str">
        <f>IF(AND(Таблица1[[#This Row],[month]]&gt;3, Таблица1[[#This Row],[month]]&lt;11),"SUMMER","WINTER")</f>
        <v>WINTER</v>
      </c>
    </row>
    <row r="88" spans="1:13" x14ac:dyDescent="0.25">
      <c r="A88" s="2">
        <v>44268</v>
      </c>
      <c r="B88" s="5">
        <v>17.537500000000001</v>
      </c>
      <c r="C88" s="5">
        <v>758.35</v>
      </c>
      <c r="D88" s="5">
        <v>59.25</v>
      </c>
      <c r="E88" s="5">
        <f>Таблица1[[#This Row],[pressure]]/760*101325</f>
        <v>101105.01809210527</v>
      </c>
      <c r="F88" s="7">
        <f>Таблица1[[#This Row],[humidity]]/100</f>
        <v>0.59250000000000003</v>
      </c>
      <c r="G88" s="5" cm="1">
        <f t="array" ref="G88">wet_bulb_temp(Таблица1[[#This Row],[temp]],Таблица1[[#This Row],[humidity_ratio]],Таблица1[[#This Row],[pressure_kpa]])</f>
        <v>12.883581341243559</v>
      </c>
      <c r="H88" s="5" cm="1">
        <f t="array" ref="H88">wet_bulb_temp_simple(Таблица1[[#This Row],[temp]],Таблица1[[#This Row],[humidity]])</f>
        <v>12.706978016829758</v>
      </c>
      <c r="I88" s="5">
        <f>IF(Таблица1[[#This Row],[wet_bulb_thermo]]+$F$1&lt;20,20,Таблица1[[#This Row],[wet_bulb_thermo]]+$F$1)</f>
        <v>22.883581341243559</v>
      </c>
      <c r="J88" s="9">
        <f>Таблица1[[#This Row],[Tcold]]+$I$1</f>
        <v>32.883581341243556</v>
      </c>
      <c r="K88" s="12" cm="1">
        <f t="array" ref="K88">evaporation(Таблица1[[#This Row],[Thot]],Таблица1[[#This Row],[Tcold]],Таблица1[[#This Row],[temp]],Таблица1[[#This Row],[humidity_ratio]],Таблица1[[#This Row],[pressure_kpa]])/$I$1</f>
        <v>1.3481135268130632E-3</v>
      </c>
      <c r="L88">
        <f>MONTH(Таблица1[[#This Row],[date]])</f>
        <v>3</v>
      </c>
      <c r="M88" t="str">
        <f>IF(AND(Таблица1[[#This Row],[month]]&gt;3, Таблица1[[#This Row],[month]]&lt;11),"SUMMER","WINTER")</f>
        <v>WINTER</v>
      </c>
    </row>
    <row r="89" spans="1:13" x14ac:dyDescent="0.25">
      <c r="A89" s="2">
        <v>44269</v>
      </c>
      <c r="B89" s="5">
        <v>18.762499999999999</v>
      </c>
      <c r="C89" s="5">
        <v>758.8125</v>
      </c>
      <c r="D89" s="5">
        <v>47.25</v>
      </c>
      <c r="E89" s="5">
        <f>Таблица1[[#This Row],[pressure]]/760*101325</f>
        <v>101166.6796875</v>
      </c>
      <c r="F89" s="7">
        <f>Таблица1[[#This Row],[humidity]]/100</f>
        <v>0.47249999999999998</v>
      </c>
      <c r="G89" s="5" cm="1">
        <f t="array" ref="G89">wet_bulb_temp(Таблица1[[#This Row],[temp]],Таблица1[[#This Row],[humidity_ratio]],Таблица1[[#This Row],[pressure_kpa]])</f>
        <v>12.343181406839774</v>
      </c>
      <c r="H89" s="5" cm="1">
        <f t="array" ref="H89">wet_bulb_temp_simple(Таблица1[[#This Row],[temp]],Таблица1[[#This Row],[humidity]])</f>
        <v>12.279162255911139</v>
      </c>
      <c r="I89" s="5">
        <f>IF(Таблица1[[#This Row],[wet_bulb_thermo]]+$F$1&lt;20,20,Таблица1[[#This Row],[wet_bulb_thermo]]+$F$1)</f>
        <v>22.343181406839776</v>
      </c>
      <c r="J89" s="9">
        <f>Таблица1[[#This Row],[Tcold]]+$I$1</f>
        <v>32.343181406839776</v>
      </c>
      <c r="K89" s="12" cm="1">
        <f t="array" ref="K89">evaporation(Таблица1[[#This Row],[Thot]],Таблица1[[#This Row],[Tcold]],Таблица1[[#This Row],[temp]],Таблица1[[#This Row],[humidity_ratio]],Таблица1[[#This Row],[pressure_kpa]])/$I$1</f>
        <v>1.3794162631805148E-3</v>
      </c>
      <c r="L89">
        <f>MONTH(Таблица1[[#This Row],[date]])</f>
        <v>3</v>
      </c>
      <c r="M89" t="str">
        <f>IF(AND(Таблица1[[#This Row],[month]]&gt;3, Таблица1[[#This Row],[month]]&lt;11),"SUMMER","WINTER")</f>
        <v>WINTER</v>
      </c>
    </row>
    <row r="90" spans="1:13" x14ac:dyDescent="0.25">
      <c r="A90" s="2">
        <v>44270</v>
      </c>
      <c r="B90" s="5">
        <v>20.399999999999999</v>
      </c>
      <c r="C90" s="5">
        <v>757.97500000000002</v>
      </c>
      <c r="D90" s="5">
        <v>48</v>
      </c>
      <c r="E90" s="5">
        <f>Таблица1[[#This Row],[pressure]]/760*101325</f>
        <v>101055.02220394737</v>
      </c>
      <c r="F90" s="7">
        <f>Таблица1[[#This Row],[humidity]]/100</f>
        <v>0.48</v>
      </c>
      <c r="G90" s="5" cm="1">
        <f t="array" ref="G90">wet_bulb_temp(Таблица1[[#This Row],[temp]],Таблица1[[#This Row],[humidity_ratio]],Таблица1[[#This Row],[pressure_kpa]])</f>
        <v>13.772172697241386</v>
      </c>
      <c r="H90" s="5" cm="1">
        <f t="array" ref="H90">wet_bulb_temp_simple(Таблица1[[#This Row],[temp]],Таблица1[[#This Row],[humidity]])</f>
        <v>13.770550434234488</v>
      </c>
      <c r="I90" s="5">
        <f>IF(Таблица1[[#This Row],[wet_bulb_thermo]]+$F$1&lt;20,20,Таблица1[[#This Row],[wet_bulb_thermo]]+$F$1)</f>
        <v>23.772172697241388</v>
      </c>
      <c r="J90" s="9">
        <f>Таблица1[[#This Row],[Tcold]]+$I$1</f>
        <v>33.772172697241388</v>
      </c>
      <c r="K90" s="12" cm="1">
        <f t="array" ref="K90">evaporation(Таблица1[[#This Row],[Thot]],Таблица1[[#This Row],[Tcold]],Таблица1[[#This Row],[temp]],Таблица1[[#This Row],[humidity_ratio]],Таблица1[[#This Row],[pressure_kpa]])/$I$1</f>
        <v>1.4020254758691502E-3</v>
      </c>
      <c r="L90">
        <f>MONTH(Таблица1[[#This Row],[date]])</f>
        <v>3</v>
      </c>
      <c r="M90" t="str">
        <f>IF(AND(Таблица1[[#This Row],[month]]&gt;3, Таблица1[[#This Row],[month]]&lt;11),"SUMMER","WINTER")</f>
        <v>WINTER</v>
      </c>
    </row>
    <row r="91" spans="1:13" x14ac:dyDescent="0.25">
      <c r="A91" s="2">
        <v>44271</v>
      </c>
      <c r="B91" s="5">
        <v>22.412500000000001</v>
      </c>
      <c r="C91" s="5">
        <v>757.22500000000002</v>
      </c>
      <c r="D91" s="5">
        <v>42.75</v>
      </c>
      <c r="E91" s="5">
        <f>Таблица1[[#This Row],[pressure]]/760*101325</f>
        <v>100955.03042763159</v>
      </c>
      <c r="F91" s="7">
        <f>Таблица1[[#This Row],[humidity]]/100</f>
        <v>0.42749999999999999</v>
      </c>
      <c r="G91" s="5" cm="1">
        <f t="array" ref="G91">wet_bulb_temp(Таблица1[[#This Row],[temp]],Таблица1[[#This Row],[humidity_ratio]],Таблица1[[#This Row],[pressure_kpa]])</f>
        <v>14.587030128339334</v>
      </c>
      <c r="H91" s="5" cm="1">
        <f t="array" ref="H91">wet_bulb_temp_simple(Таблица1[[#This Row],[temp]],Таблица1[[#This Row],[humidity]])</f>
        <v>14.702634999601207</v>
      </c>
      <c r="I91" s="5">
        <f>IF(Таблица1[[#This Row],[wet_bulb_thermo]]+$F$1&lt;20,20,Таблица1[[#This Row],[wet_bulb_thermo]]+$F$1)</f>
        <v>24.587030128339336</v>
      </c>
      <c r="J91" s="9">
        <f>Таблица1[[#This Row],[Tcold]]+$I$1</f>
        <v>34.587030128339336</v>
      </c>
      <c r="K91" s="12" cm="1">
        <f t="array" ref="K91">evaporation(Таблица1[[#This Row],[Thot]],Таблица1[[#This Row],[Tcold]],Таблица1[[#This Row],[temp]],Таблица1[[#This Row],[humidity_ratio]],Таблица1[[#This Row],[pressure_kpa]])/$I$1</f>
        <v>1.4362537547206167E-3</v>
      </c>
      <c r="L91">
        <f>MONTH(Таблица1[[#This Row],[date]])</f>
        <v>3</v>
      </c>
      <c r="M91" t="str">
        <f>IF(AND(Таблица1[[#This Row],[month]]&gt;3, Таблица1[[#This Row],[month]]&lt;11),"SUMMER","WINTER")</f>
        <v>WINTER</v>
      </c>
    </row>
    <row r="92" spans="1:13" x14ac:dyDescent="0.25">
      <c r="A92" s="2">
        <v>44272</v>
      </c>
      <c r="B92" s="5">
        <v>25.425000000000001</v>
      </c>
      <c r="C92" s="5">
        <v>755.2</v>
      </c>
      <c r="D92" s="5">
        <v>37.25</v>
      </c>
      <c r="E92" s="5">
        <f>Таблица1[[#This Row],[pressure]]/760*101325</f>
        <v>100685.05263157895</v>
      </c>
      <c r="F92" s="7">
        <f>Таблица1[[#This Row],[humidity]]/100</f>
        <v>0.3725</v>
      </c>
      <c r="G92" s="5" cm="1">
        <f t="array" ref="G92">wet_bulb_temp(Таблица1[[#This Row],[temp]],Таблица1[[#This Row],[humidity_ratio]],Таблица1[[#This Row],[pressure_kpa]])</f>
        <v>15.984165596760324</v>
      </c>
      <c r="H92" s="5" cm="1">
        <f t="array" ref="H92">wet_bulb_temp_simple(Таблица1[[#This Row],[temp]],Таблица1[[#This Row],[humidity]])</f>
        <v>16.252361156900871</v>
      </c>
      <c r="I92" s="5">
        <f>IF(Таблица1[[#This Row],[wet_bulb_thermo]]+$F$1&lt;20,20,Таблица1[[#This Row],[wet_bulb_thermo]]+$F$1)</f>
        <v>25.984165596760324</v>
      </c>
      <c r="J92" s="9">
        <f>Таблица1[[#This Row],[Tcold]]+$I$1</f>
        <v>35.98416559676032</v>
      </c>
      <c r="K92" s="12" cm="1">
        <f t="array" ref="K92">evaporation(Таблица1[[#This Row],[Thot]],Таблица1[[#This Row],[Tcold]],Таблица1[[#This Row],[temp]],Таблица1[[#This Row],[humidity_ratio]],Таблица1[[#This Row],[pressure_kpa]])/$I$1</f>
        <v>1.4823676959140964E-3</v>
      </c>
      <c r="L92">
        <f>MONTH(Таблица1[[#This Row],[date]])</f>
        <v>3</v>
      </c>
      <c r="M92" t="str">
        <f>IF(AND(Таблица1[[#This Row],[month]]&gt;3, Таблица1[[#This Row],[month]]&lt;11),"SUMMER","WINTER")</f>
        <v>WINTER</v>
      </c>
    </row>
    <row r="93" spans="1:13" x14ac:dyDescent="0.25">
      <c r="A93" s="2">
        <v>44273</v>
      </c>
      <c r="B93" s="5">
        <v>26.4</v>
      </c>
      <c r="C93" s="5">
        <v>754.125</v>
      </c>
      <c r="D93" s="5">
        <v>35</v>
      </c>
      <c r="E93" s="5">
        <f>Таблица1[[#This Row],[pressure]]/760*101325</f>
        <v>100541.73108552632</v>
      </c>
      <c r="F93" s="7">
        <f>Таблица1[[#This Row],[humidity]]/100</f>
        <v>0.35</v>
      </c>
      <c r="G93" s="5" cm="1">
        <f t="array" ref="G93">wet_bulb_temp(Таблица1[[#This Row],[temp]],Таблица1[[#This Row],[humidity_ratio]],Таблица1[[#This Row],[pressure_kpa]])</f>
        <v>16.304298468358294</v>
      </c>
      <c r="H93" s="5" cm="1">
        <f t="array" ref="H93">wet_bulb_temp_simple(Таблица1[[#This Row],[temp]],Таблица1[[#This Row],[humidity]])</f>
        <v>16.616592194932071</v>
      </c>
      <c r="I93" s="5">
        <f>IF(Таблица1[[#This Row],[wet_bulb_thermo]]+$F$1&lt;20,20,Таблица1[[#This Row],[wet_bulb_thermo]]+$F$1)</f>
        <v>26.304298468358294</v>
      </c>
      <c r="J93" s="9">
        <f>Таблица1[[#This Row],[Tcold]]+$I$1</f>
        <v>36.304298468358297</v>
      </c>
      <c r="K93" s="12" cm="1">
        <f t="array" ref="K93">evaporation(Таблица1[[#This Row],[Thot]],Таблица1[[#This Row],[Tcold]],Таблица1[[#This Row],[temp]],Таблица1[[#This Row],[humidity_ratio]],Таблица1[[#This Row],[pressure_kpa]])/$I$1</f>
        <v>1.4978101113288479E-3</v>
      </c>
      <c r="L93">
        <f>MONTH(Таблица1[[#This Row],[date]])</f>
        <v>3</v>
      </c>
      <c r="M93" t="str">
        <f>IF(AND(Таблица1[[#This Row],[month]]&gt;3, Таблица1[[#This Row],[month]]&lt;11),"SUMMER","WINTER")</f>
        <v>WINTER</v>
      </c>
    </row>
    <row r="94" spans="1:13" x14ac:dyDescent="0.25">
      <c r="A94" s="2">
        <v>44274</v>
      </c>
      <c r="B94" s="5">
        <v>23.25</v>
      </c>
      <c r="C94" s="5">
        <v>756.47500000000002</v>
      </c>
      <c r="D94" s="5">
        <v>28.875</v>
      </c>
      <c r="E94" s="5">
        <f>Таблица1[[#This Row],[pressure]]/760*101325</f>
        <v>100855.0386513158</v>
      </c>
      <c r="F94" s="7">
        <f>Таблица1[[#This Row],[humidity]]/100</f>
        <v>0.28875000000000001</v>
      </c>
      <c r="G94" s="5" cm="1">
        <f t="array" ref="G94">wet_bulb_temp(Таблица1[[#This Row],[temp]],Таблица1[[#This Row],[humidity_ratio]],Таблица1[[#This Row],[pressure_kpa]])</f>
        <v>12.912634900782383</v>
      </c>
      <c r="H94" s="5" cm="1">
        <f t="array" ref="H94">wet_bulb_temp_simple(Таблица1[[#This Row],[temp]],Таблица1[[#This Row],[humidity]])</f>
        <v>13.06676089954269</v>
      </c>
      <c r="I94" s="5">
        <f>IF(Таблица1[[#This Row],[wet_bulb_thermo]]+$F$1&lt;20,20,Таблица1[[#This Row],[wet_bulb_thermo]]+$F$1)</f>
        <v>22.912634900782383</v>
      </c>
      <c r="J94" s="9">
        <f>Таблица1[[#This Row],[Tcold]]+$I$1</f>
        <v>32.912634900782379</v>
      </c>
      <c r="K94" s="12" cm="1">
        <f t="array" ref="K94">evaporation(Таблица1[[#This Row],[Thot]],Таблица1[[#This Row],[Tcold]],Таблица1[[#This Row],[temp]],Таблица1[[#This Row],[humidity_ratio]],Таблица1[[#This Row],[pressure_kpa]])/$I$1</f>
        <v>1.4725211324768579E-3</v>
      </c>
      <c r="L94">
        <f>MONTH(Таблица1[[#This Row],[date]])</f>
        <v>3</v>
      </c>
      <c r="M94" t="str">
        <f>IF(AND(Таблица1[[#This Row],[month]]&gt;3, Таблица1[[#This Row],[month]]&lt;11),"SUMMER","WINTER")</f>
        <v>WINTER</v>
      </c>
    </row>
    <row r="95" spans="1:13" x14ac:dyDescent="0.25">
      <c r="A95" s="2">
        <v>44275</v>
      </c>
      <c r="B95" s="5">
        <v>21.524999999999999</v>
      </c>
      <c r="C95" s="5">
        <v>758.21249999999998</v>
      </c>
      <c r="D95" s="5">
        <v>31.875</v>
      </c>
      <c r="E95" s="5">
        <f>Таблица1[[#This Row],[pressure]]/760*101325</f>
        <v>101086.68626644736</v>
      </c>
      <c r="F95" s="7">
        <f>Таблица1[[#This Row],[humidity]]/100</f>
        <v>0.31874999999999998</v>
      </c>
      <c r="G95" s="5" cm="1">
        <f t="array" ref="G95">wet_bulb_temp(Таблица1[[#This Row],[temp]],Таблица1[[#This Row],[humidity_ratio]],Таблица1[[#This Row],[pressure_kpa]])</f>
        <v>12.181528677627055</v>
      </c>
      <c r="H95" s="5" cm="1">
        <f t="array" ref="H95">wet_bulb_temp_simple(Таблица1[[#This Row],[temp]],Таблица1[[#This Row],[humidity]])</f>
        <v>12.280965171141585</v>
      </c>
      <c r="I95" s="5">
        <f>IF(Таблица1[[#This Row],[wet_bulb_thermo]]+$F$1&lt;20,20,Таблица1[[#This Row],[wet_bulb_thermo]]+$F$1)</f>
        <v>22.181528677627057</v>
      </c>
      <c r="J95" s="9">
        <f>Таблица1[[#This Row],[Tcold]]+$I$1</f>
        <v>32.181528677627057</v>
      </c>
      <c r="K95" s="12" cm="1">
        <f t="array" ref="K95">evaporation(Таблица1[[#This Row],[Thot]],Таблица1[[#This Row],[Tcold]],Таблица1[[#This Row],[temp]],Таблица1[[#This Row],[humidity_ratio]],Таблица1[[#This Row],[pressure_kpa]])/$I$1</f>
        <v>1.4430476065325553E-3</v>
      </c>
      <c r="L95">
        <f>MONTH(Таблица1[[#This Row],[date]])</f>
        <v>3</v>
      </c>
      <c r="M95" t="str">
        <f>IF(AND(Таблица1[[#This Row],[month]]&gt;3, Таблица1[[#This Row],[month]]&lt;11),"SUMMER","WINTER")</f>
        <v>WINTER</v>
      </c>
    </row>
    <row r="96" spans="1:13" x14ac:dyDescent="0.25">
      <c r="A96" s="2">
        <v>44276</v>
      </c>
      <c r="B96" s="5">
        <v>21.0625</v>
      </c>
      <c r="C96" s="5">
        <v>756.36249999999995</v>
      </c>
      <c r="D96" s="5">
        <v>31.5</v>
      </c>
      <c r="E96" s="5">
        <f>Таблица1[[#This Row],[pressure]]/760*101325</f>
        <v>100840.03988486841</v>
      </c>
      <c r="F96" s="7">
        <f>Таблица1[[#This Row],[humidity]]/100</f>
        <v>0.315</v>
      </c>
      <c r="G96" s="5" cm="1">
        <f t="array" ref="G96">wet_bulb_temp(Таблица1[[#This Row],[temp]],Таблица1[[#This Row],[humidity_ratio]],Таблица1[[#This Row],[pressure_kpa]])</f>
        <v>11.801696927345317</v>
      </c>
      <c r="H96" s="5" cm="1">
        <f t="array" ref="H96">wet_bulb_temp_simple(Таблица1[[#This Row],[temp]],Таблица1[[#This Row],[humidity]])</f>
        <v>11.865336691011349</v>
      </c>
      <c r="I96" s="5">
        <f>IF(Таблица1[[#This Row],[wet_bulb_thermo]]+$F$1&lt;20,20,Таблица1[[#This Row],[wet_bulb_thermo]]+$F$1)</f>
        <v>21.801696927345318</v>
      </c>
      <c r="J96" s="9">
        <f>Таблица1[[#This Row],[Tcold]]+$I$1</f>
        <v>31.801696927345318</v>
      </c>
      <c r="K96" s="12" cm="1">
        <f t="array" ref="K96">evaporation(Таблица1[[#This Row],[Thot]],Таблица1[[#This Row],[Tcold]],Таблица1[[#This Row],[temp]],Таблица1[[#This Row],[humidity_ratio]],Таблица1[[#This Row],[pressure_kpa]])/$I$1</f>
        <v>1.4379280181527629E-3</v>
      </c>
      <c r="L96">
        <f>MONTH(Таблица1[[#This Row],[date]])</f>
        <v>3</v>
      </c>
      <c r="M96" t="str">
        <f>IF(AND(Таблица1[[#This Row],[month]]&gt;3, Таблица1[[#This Row],[month]]&lt;11),"SUMMER","WINTER")</f>
        <v>WINTER</v>
      </c>
    </row>
    <row r="97" spans="1:13" x14ac:dyDescent="0.25">
      <c r="A97" s="2">
        <v>44277</v>
      </c>
      <c r="B97" s="5">
        <v>23.762499999999999</v>
      </c>
      <c r="C97" s="5">
        <v>756.67499999999995</v>
      </c>
      <c r="D97" s="5">
        <v>35.25</v>
      </c>
      <c r="E97" s="5">
        <f>Таблица1[[#This Row],[pressure]]/760*101325</f>
        <v>100881.703125</v>
      </c>
      <c r="F97" s="7">
        <f>Таблица1[[#This Row],[humidity]]/100</f>
        <v>0.35249999999999998</v>
      </c>
      <c r="G97" s="5" cm="1">
        <f t="array" ref="G97">wet_bulb_temp(Таблица1[[#This Row],[temp]],Таблица1[[#This Row],[humidity_ratio]],Таблица1[[#This Row],[pressure_kpa]])</f>
        <v>14.383851422020339</v>
      </c>
      <c r="H97" s="5" cm="1">
        <f t="array" ref="H97">wet_bulb_temp_simple(Таблица1[[#This Row],[temp]],Таблица1[[#This Row],[humidity]])</f>
        <v>14.586915041059404</v>
      </c>
      <c r="I97" s="5">
        <f>IF(Таблица1[[#This Row],[wet_bulb_thermo]]+$F$1&lt;20,20,Таблица1[[#This Row],[wet_bulb_thermo]]+$F$1)</f>
        <v>24.383851422020339</v>
      </c>
      <c r="J97" s="9">
        <f>Таблица1[[#This Row],[Tcold]]+$I$1</f>
        <v>34.383851422020342</v>
      </c>
      <c r="K97" s="12" cm="1">
        <f t="array" ref="K97">evaporation(Таблица1[[#This Row],[Thot]],Таблица1[[#This Row],[Tcold]],Таблица1[[#This Row],[temp]],Таблица1[[#This Row],[humidity_ratio]],Таблица1[[#This Row],[pressure_kpa]])/$I$1</f>
        <v>1.4659242750085621E-3</v>
      </c>
      <c r="L97">
        <f>MONTH(Таблица1[[#This Row],[date]])</f>
        <v>3</v>
      </c>
      <c r="M97" t="str">
        <f>IF(AND(Таблица1[[#This Row],[month]]&gt;3, Таблица1[[#This Row],[month]]&lt;11),"SUMMER","WINTER")</f>
        <v>WINTER</v>
      </c>
    </row>
    <row r="98" spans="1:13" x14ac:dyDescent="0.25">
      <c r="A98" s="2">
        <v>44278</v>
      </c>
      <c r="B98" s="5">
        <v>24.462499999999999</v>
      </c>
      <c r="C98" s="5">
        <v>757.01250000000005</v>
      </c>
      <c r="D98" s="5">
        <v>45.375</v>
      </c>
      <c r="E98" s="5">
        <f>Таблица1[[#This Row],[pressure]]/760*101325</f>
        <v>100926.69942434212</v>
      </c>
      <c r="F98" s="7">
        <f>Таблица1[[#This Row],[humidity]]/100</f>
        <v>0.45374999999999999</v>
      </c>
      <c r="G98" s="5" cm="1">
        <f t="array" ref="G98">wet_bulb_temp(Таблица1[[#This Row],[temp]],Таблица1[[#This Row],[humidity_ratio]],Таблица1[[#This Row],[pressure_kpa]])</f>
        <v>16.626604600200007</v>
      </c>
      <c r="H98" s="5" cm="1">
        <f t="array" ref="H98">wet_bulb_temp_simple(Таблица1[[#This Row],[temp]],Таблица1[[#This Row],[humidity]])</f>
        <v>16.817392598098696</v>
      </c>
      <c r="I98" s="5">
        <f>IF(Таблица1[[#This Row],[wet_bulb_thermo]]+$F$1&lt;20,20,Таблица1[[#This Row],[wet_bulb_thermo]]+$F$1)</f>
        <v>26.626604600200007</v>
      </c>
      <c r="J98" s="9">
        <f>Таблица1[[#This Row],[Tcold]]+$I$1</f>
        <v>36.626604600200011</v>
      </c>
      <c r="K98" s="12" cm="1">
        <f t="array" ref="K98">evaporation(Таблица1[[#This Row],[Thot]],Таблица1[[#This Row],[Tcold]],Таблица1[[#This Row],[temp]],Таблица1[[#This Row],[humidity_ratio]],Таблица1[[#This Row],[pressure_kpa]])/$I$1</f>
        <v>1.4577676432082159E-3</v>
      </c>
      <c r="L98">
        <f>MONTH(Таблица1[[#This Row],[date]])</f>
        <v>3</v>
      </c>
      <c r="M98" t="str">
        <f>IF(AND(Таблица1[[#This Row],[month]]&gt;3, Таблица1[[#This Row],[month]]&lt;11),"SUMMER","WINTER")</f>
        <v>WINTER</v>
      </c>
    </row>
    <row r="99" spans="1:13" x14ac:dyDescent="0.25">
      <c r="A99" s="2">
        <v>44279</v>
      </c>
      <c r="B99" s="5">
        <v>26.9</v>
      </c>
      <c r="C99" s="5">
        <v>752.57500000000005</v>
      </c>
      <c r="D99" s="5">
        <v>37.25</v>
      </c>
      <c r="E99" s="5">
        <f>Таблица1[[#This Row],[pressure]]/760*101325</f>
        <v>100335.08141447368</v>
      </c>
      <c r="F99" s="7">
        <f>Таблица1[[#This Row],[humidity]]/100</f>
        <v>0.3725</v>
      </c>
      <c r="G99" s="5" cm="1">
        <f t="array" ref="G99">wet_bulb_temp(Таблица1[[#This Row],[temp]],Таблица1[[#This Row],[humidity_ratio]],Таблица1[[#This Row],[pressure_kpa]])</f>
        <v>17.11485201451017</v>
      </c>
      <c r="H99" s="5" cm="1">
        <f t="array" ref="H99">wet_bulb_temp_simple(Таблица1[[#This Row],[temp]],Таблица1[[#This Row],[humidity]])</f>
        <v>17.4300159118166</v>
      </c>
      <c r="I99" s="5">
        <f>IF(Таблица1[[#This Row],[wet_bulb_thermo]]+$F$1&lt;20,20,Таблица1[[#This Row],[wet_bulb_thermo]]+$F$1)</f>
        <v>27.11485201451017</v>
      </c>
      <c r="J99" s="9">
        <f>Таблица1[[#This Row],[Tcold]]+$I$1</f>
        <v>37.11485201451017</v>
      </c>
      <c r="K99" s="12" cm="1">
        <f t="array" ref="K99">evaporation(Таблица1[[#This Row],[Thot]],Таблица1[[#This Row],[Tcold]],Таблица1[[#This Row],[temp]],Таблица1[[#This Row],[humidity_ratio]],Таблица1[[#This Row],[pressure_kpa]])/$I$1</f>
        <v>1.499318297386038E-3</v>
      </c>
      <c r="L99">
        <f>MONTH(Таблица1[[#This Row],[date]])</f>
        <v>3</v>
      </c>
      <c r="M99" t="str">
        <f>IF(AND(Таблица1[[#This Row],[month]]&gt;3, Таблица1[[#This Row],[month]]&lt;11),"SUMMER","WINTER")</f>
        <v>WINTER</v>
      </c>
    </row>
    <row r="100" spans="1:13" x14ac:dyDescent="0.25">
      <c r="A100" s="2">
        <v>44280</v>
      </c>
      <c r="B100" s="5">
        <v>26.3125</v>
      </c>
      <c r="C100" s="5">
        <v>753.05</v>
      </c>
      <c r="D100" s="5">
        <v>43.375</v>
      </c>
      <c r="E100" s="5">
        <f>Таблица1[[#This Row],[pressure]]/760*101325</f>
        <v>100398.40953947368</v>
      </c>
      <c r="F100" s="7">
        <f>Таблица1[[#This Row],[humidity]]/100</f>
        <v>0.43375000000000002</v>
      </c>
      <c r="G100" s="5" cm="1">
        <f t="array" ref="G100">wet_bulb_temp(Таблица1[[#This Row],[temp]],Таблица1[[#This Row],[humidity_ratio]],Таблица1[[#This Row],[pressure_kpa]])</f>
        <v>17.783721563050978</v>
      </c>
      <c r="H100" s="5" cm="1">
        <f t="array" ref="H100">wet_bulb_temp_simple(Таблица1[[#This Row],[temp]],Таблица1[[#This Row],[humidity]])</f>
        <v>18.03367050471892</v>
      </c>
      <c r="I100" s="5">
        <f>IF(Таблица1[[#This Row],[wet_bulb_thermo]]+$F$1&lt;20,20,Таблица1[[#This Row],[wet_bulb_thermo]]+$F$1)</f>
        <v>27.783721563050978</v>
      </c>
      <c r="J100" s="9">
        <f>Таблица1[[#This Row],[Tcold]]+$I$1</f>
        <v>37.783721563050975</v>
      </c>
      <c r="K100" s="12" cm="1">
        <f t="array" ref="K100">evaporation(Таблица1[[#This Row],[Thot]],Таблица1[[#This Row],[Tcold]],Таблица1[[#This Row],[temp]],Таблица1[[#This Row],[humidity_ratio]],Таблица1[[#This Row],[pressure_kpa]])/$I$1</f>
        <v>1.482698932590315E-3</v>
      </c>
      <c r="L100">
        <f>MONTH(Таблица1[[#This Row],[date]])</f>
        <v>3</v>
      </c>
      <c r="M100" t="str">
        <f>IF(AND(Таблица1[[#This Row],[month]]&gt;3, Таблица1[[#This Row],[month]]&lt;11),"SUMMER","WINTER")</f>
        <v>WINTER</v>
      </c>
    </row>
    <row r="101" spans="1:13" x14ac:dyDescent="0.25">
      <c r="A101" s="2">
        <v>44281</v>
      </c>
      <c r="B101" s="5">
        <v>23.787500000000001</v>
      </c>
      <c r="C101" s="5">
        <v>757.0625</v>
      </c>
      <c r="D101" s="5">
        <v>32.75</v>
      </c>
      <c r="E101" s="5">
        <f>Таблица1[[#This Row],[pressure]]/760*101325</f>
        <v>100933.36554276316</v>
      </c>
      <c r="F101" s="7">
        <f>Таблица1[[#This Row],[humidity]]/100</f>
        <v>0.32750000000000001</v>
      </c>
      <c r="G101" s="5" cm="1">
        <f t="array" ref="G101">wet_bulb_temp(Таблица1[[#This Row],[temp]],Таблица1[[#This Row],[humidity_ratio]],Таблица1[[#This Row],[pressure_kpa]])</f>
        <v>13.966743949992665</v>
      </c>
      <c r="H101" s="5" cm="1">
        <f t="array" ref="H101">wet_bulb_temp_simple(Таблица1[[#This Row],[temp]],Таблица1[[#This Row],[humidity]])</f>
        <v>14.172035175420563</v>
      </c>
      <c r="I101" s="5">
        <f>IF(Таблица1[[#This Row],[wet_bulb_thermo]]+$F$1&lt;20,20,Таблица1[[#This Row],[wet_bulb_thermo]]+$F$1)</f>
        <v>23.966743949992665</v>
      </c>
      <c r="J101" s="9">
        <f>Таблица1[[#This Row],[Tcold]]+$I$1</f>
        <v>33.966743949992662</v>
      </c>
      <c r="K101" s="12" cm="1">
        <f t="array" ref="K101">evaporation(Таблица1[[#This Row],[Thot]],Таблица1[[#This Row],[Tcold]],Таблица1[[#This Row],[temp]],Таблица1[[#This Row],[humidity_ratio]],Таблица1[[#This Row],[pressure_kpa]])/$I$1</f>
        <v>1.4709993682045248E-3</v>
      </c>
      <c r="L101">
        <f>MONTH(Таблица1[[#This Row],[date]])</f>
        <v>3</v>
      </c>
      <c r="M101" t="str">
        <f>IF(AND(Таблица1[[#This Row],[month]]&gt;3, Таблица1[[#This Row],[month]]&lt;11),"SUMMER","WINTER")</f>
        <v>WINTER</v>
      </c>
    </row>
    <row r="102" spans="1:13" x14ac:dyDescent="0.25">
      <c r="A102" s="2">
        <v>44282</v>
      </c>
      <c r="B102" s="5">
        <v>23.85</v>
      </c>
      <c r="C102" s="5">
        <v>757.72500000000002</v>
      </c>
      <c r="D102" s="5">
        <v>30.375</v>
      </c>
      <c r="E102" s="5">
        <f>Таблица1[[#This Row],[pressure]]/760*101325</f>
        <v>101021.69161184211</v>
      </c>
      <c r="F102" s="7">
        <f>Таблица1[[#This Row],[humidity]]/100</f>
        <v>0.30375000000000002</v>
      </c>
      <c r="G102" s="5" cm="1">
        <f t="array" ref="G102">wet_bulb_temp(Таблица1[[#This Row],[temp]],Таблица1[[#This Row],[humidity_ratio]],Таблица1[[#This Row],[pressure_kpa]])</f>
        <v>13.589721918524464</v>
      </c>
      <c r="H102" s="5" cm="1">
        <f t="array" ref="H102">wet_bulb_temp_simple(Таблица1[[#This Row],[temp]],Таблица1[[#This Row],[humidity]])</f>
        <v>13.793000664378814</v>
      </c>
      <c r="I102" s="5">
        <f>IF(Таблица1[[#This Row],[wet_bulb_thermo]]+$F$1&lt;20,20,Таблица1[[#This Row],[wet_bulb_thermo]]+$F$1)</f>
        <v>23.589721918524464</v>
      </c>
      <c r="J102" s="9">
        <f>Таблица1[[#This Row],[Tcold]]+$I$1</f>
        <v>33.589721918524461</v>
      </c>
      <c r="K102" s="12" cm="1">
        <f t="array" ref="K102">evaporation(Таблица1[[#This Row],[Thot]],Таблица1[[#This Row],[Tcold]],Таблица1[[#This Row],[temp]],Таблица1[[#This Row],[humidity_ratio]],Таблица1[[#This Row],[pressure_kpa]])/$I$1</f>
        <v>1.4765782772704298E-3</v>
      </c>
      <c r="L102">
        <f>MONTH(Таблица1[[#This Row],[date]])</f>
        <v>3</v>
      </c>
      <c r="M102" t="str">
        <f>IF(AND(Таблица1[[#This Row],[month]]&gt;3, Таблица1[[#This Row],[month]]&lt;11),"SUMMER","WINTER")</f>
        <v>WINTER</v>
      </c>
    </row>
    <row r="103" spans="1:13" x14ac:dyDescent="0.25">
      <c r="A103" s="2">
        <v>44283</v>
      </c>
      <c r="B103" s="5">
        <v>18.324999999999999</v>
      </c>
      <c r="C103" s="5">
        <v>761.27499999999998</v>
      </c>
      <c r="D103" s="5">
        <v>23.75</v>
      </c>
      <c r="E103" s="5">
        <f>Таблица1[[#This Row],[pressure]]/760*101325</f>
        <v>101494.98601973684</v>
      </c>
      <c r="F103" s="7">
        <f>Таблица1[[#This Row],[humidity]]/100</f>
        <v>0.23749999999999999</v>
      </c>
      <c r="G103" s="5" cm="1">
        <f t="array" ref="G103">wet_bulb_temp(Таблица1[[#This Row],[temp]],Таблица1[[#This Row],[humidity_ratio]],Таблица1[[#This Row],[pressure_kpa]])</f>
        <v>8.678661802155208</v>
      </c>
      <c r="H103" s="5" cm="1">
        <f t="array" ref="H103">wet_bulb_temp_simple(Таблица1[[#This Row],[temp]],Таблица1[[#This Row],[humidity]])</f>
        <v>8.5847373538454672</v>
      </c>
      <c r="I103" s="5">
        <f>IF(Таблица1[[#This Row],[wet_bulb_thermo]]+$F$1&lt;20,20,Таблица1[[#This Row],[wet_bulb_thermo]]+$F$1)</f>
        <v>20</v>
      </c>
      <c r="J103" s="9">
        <f>Таблица1[[#This Row],[Tcold]]+$I$1</f>
        <v>30</v>
      </c>
      <c r="K103" s="12" cm="1">
        <f t="array" ref="K103">evaporation(Таблица1[[#This Row],[Thot]],Таблица1[[#This Row],[Tcold]],Таблица1[[#This Row],[temp]],Таблица1[[#This Row],[humidity_ratio]],Таблица1[[#This Row],[pressure_kpa]])/$I$1</f>
        <v>1.4058952580000943E-3</v>
      </c>
      <c r="L103">
        <f>MONTH(Таблица1[[#This Row],[date]])</f>
        <v>3</v>
      </c>
      <c r="M103" t="str">
        <f>IF(AND(Таблица1[[#This Row],[month]]&gt;3, Таблица1[[#This Row],[month]]&lt;11),"SUMMER","WINTER")</f>
        <v>WINTER</v>
      </c>
    </row>
    <row r="104" spans="1:13" x14ac:dyDescent="0.25">
      <c r="A104" s="2">
        <v>44284</v>
      </c>
      <c r="B104" s="5">
        <v>19.574999999999999</v>
      </c>
      <c r="C104" s="5">
        <v>760.48749999999995</v>
      </c>
      <c r="D104" s="5">
        <v>30.625</v>
      </c>
      <c r="E104" s="5">
        <f>Таблица1[[#This Row],[pressure]]/760*101325</f>
        <v>101389.99465460527</v>
      </c>
      <c r="F104" s="7">
        <f>Таблица1[[#This Row],[humidity]]/100</f>
        <v>0.30625000000000002</v>
      </c>
      <c r="G104" s="5" cm="1">
        <f t="array" ref="G104">wet_bulb_temp(Таблица1[[#This Row],[temp]],Таблица1[[#This Row],[humidity_ratio]],Таблица1[[#This Row],[pressure_kpa]])</f>
        <v>10.575695067825281</v>
      </c>
      <c r="H104" s="5" cm="1">
        <f t="array" ref="H104">wet_bulb_temp_simple(Таблица1[[#This Row],[temp]],Таблица1[[#This Row],[humidity]])</f>
        <v>10.5928239757579</v>
      </c>
      <c r="I104" s="5">
        <f>IF(Таблица1[[#This Row],[wet_bulb_thermo]]+$F$1&lt;20,20,Таблица1[[#This Row],[wet_bulb_thermo]]+$F$1)</f>
        <v>20.575695067825279</v>
      </c>
      <c r="J104" s="9">
        <f>Таблица1[[#This Row],[Tcold]]+$I$1</f>
        <v>30.575695067825279</v>
      </c>
      <c r="K104" s="12" cm="1">
        <f t="array" ref="K104">evaporation(Таблица1[[#This Row],[Thot]],Таблица1[[#This Row],[Tcold]],Таблица1[[#This Row],[temp]],Таблица1[[#This Row],[humidity_ratio]],Таблица1[[#This Row],[pressure_kpa]])/$I$1</f>
        <v>1.4173216655634473E-3</v>
      </c>
      <c r="L104">
        <f>MONTH(Таблица1[[#This Row],[date]])</f>
        <v>3</v>
      </c>
      <c r="M104" t="str">
        <f>IF(AND(Таблица1[[#This Row],[month]]&gt;3, Таблица1[[#This Row],[month]]&lt;11),"SUMMER","WINTER")</f>
        <v>WINTER</v>
      </c>
    </row>
    <row r="105" spans="1:13" x14ac:dyDescent="0.25">
      <c r="A105" s="2">
        <v>44285</v>
      </c>
      <c r="B105" s="5">
        <v>21.625</v>
      </c>
      <c r="C105" s="5">
        <v>758.76250000000005</v>
      </c>
      <c r="D105" s="5">
        <v>25.375</v>
      </c>
      <c r="E105" s="5">
        <f>Таблица1[[#This Row],[pressure]]/760*101325</f>
        <v>101160.01356907896</v>
      </c>
      <c r="F105" s="7">
        <f>Таблица1[[#This Row],[humidity]]/100</f>
        <v>0.25374999999999998</v>
      </c>
      <c r="G105" s="5" cm="1">
        <f t="array" ref="G105">wet_bulb_temp(Таблица1[[#This Row],[temp]],Таблица1[[#This Row],[humidity_ratio]],Таблица1[[#This Row],[pressure_kpa]])</f>
        <v>11.181020194452744</v>
      </c>
      <c r="H105" s="5" cm="1">
        <f t="array" ref="H105">wet_bulb_temp_simple(Таблица1[[#This Row],[temp]],Таблица1[[#This Row],[humidity]])</f>
        <v>11.231819181502235</v>
      </c>
      <c r="I105" s="5">
        <f>IF(Таблица1[[#This Row],[wet_bulb_thermo]]+$F$1&lt;20,20,Таблица1[[#This Row],[wet_bulb_thermo]]+$F$1)</f>
        <v>21.181020194452742</v>
      </c>
      <c r="J105" s="9">
        <f>Таблица1[[#This Row],[Tcold]]+$I$1</f>
        <v>31.181020194452742</v>
      </c>
      <c r="K105" s="12" cm="1">
        <f t="array" ref="K105">evaporation(Таблица1[[#This Row],[Thot]],Таблица1[[#This Row],[Tcold]],Таблица1[[#This Row],[temp]],Таблица1[[#This Row],[humidity_ratio]],Таблица1[[#This Row],[pressure_kpa]])/$I$1</f>
        <v>1.4582502888646712E-3</v>
      </c>
      <c r="L105">
        <f>MONTH(Таблица1[[#This Row],[date]])</f>
        <v>3</v>
      </c>
      <c r="M105" t="str">
        <f>IF(AND(Таблица1[[#This Row],[month]]&gt;3, Таблица1[[#This Row],[month]]&lt;11),"SUMMER","WINTER")</f>
        <v>WINTER</v>
      </c>
    </row>
    <row r="106" spans="1:13" x14ac:dyDescent="0.25">
      <c r="A106" s="2">
        <v>44286</v>
      </c>
      <c r="B106" s="5">
        <v>26.824999999999999</v>
      </c>
      <c r="C106" s="5">
        <v>756.48749999999995</v>
      </c>
      <c r="D106" s="5">
        <v>23.875</v>
      </c>
      <c r="E106" s="5">
        <f>Таблица1[[#This Row],[pressure]]/760*101325</f>
        <v>100856.70518092104</v>
      </c>
      <c r="F106" s="7">
        <f>Таблица1[[#This Row],[humidity]]/100</f>
        <v>0.23874999999999999</v>
      </c>
      <c r="G106" s="5" cm="1">
        <f t="array" ref="G106">wet_bulb_temp(Таблица1[[#This Row],[temp]],Таблица1[[#This Row],[humidity_ratio]],Таблица1[[#This Row],[pressure_kpa]])</f>
        <v>14.397802515947191</v>
      </c>
      <c r="H106" s="5" cm="1">
        <f t="array" ref="H106">wet_bulb_temp_simple(Таблица1[[#This Row],[temp]],Таблица1[[#This Row],[humidity]])</f>
        <v>14.657212720379436</v>
      </c>
      <c r="I106" s="5">
        <f>IF(Таблица1[[#This Row],[wet_bulb_thermo]]+$F$1&lt;20,20,Таблица1[[#This Row],[wet_bulb_thermo]]+$F$1)</f>
        <v>24.397802515947191</v>
      </c>
      <c r="J106" s="9">
        <f>Таблица1[[#This Row],[Tcold]]+$I$1</f>
        <v>34.397802515947191</v>
      </c>
      <c r="K106" s="12" cm="1">
        <f t="array" ref="K106">evaporation(Таблица1[[#This Row],[Thot]],Таблица1[[#This Row],[Tcold]],Таблица1[[#This Row],[temp]],Таблица1[[#This Row],[humidity_ratio]],Таблица1[[#This Row],[pressure_kpa]])/$I$1</f>
        <v>1.5282577892292738E-3</v>
      </c>
      <c r="L106">
        <f>MONTH(Таблица1[[#This Row],[date]])</f>
        <v>3</v>
      </c>
      <c r="M106" t="str">
        <f>IF(AND(Таблица1[[#This Row],[month]]&gt;3, Таблица1[[#This Row],[month]]&lt;11),"SUMMER","WINTER")</f>
        <v>WINTER</v>
      </c>
    </row>
    <row r="107" spans="1:13" x14ac:dyDescent="0.25">
      <c r="A107" s="2">
        <v>44287</v>
      </c>
      <c r="B107" s="5">
        <v>28.037500000000001</v>
      </c>
      <c r="C107" s="5">
        <v>755.27499999999998</v>
      </c>
      <c r="D107" s="5">
        <v>26.25</v>
      </c>
      <c r="E107" s="5">
        <f>Таблица1[[#This Row],[pressure]]/760*101325</f>
        <v>100695.05180921053</v>
      </c>
      <c r="F107" s="7">
        <f>Таблица1[[#This Row],[humidity]]/100</f>
        <v>0.26250000000000001</v>
      </c>
      <c r="G107" s="5" cm="1">
        <f t="array" ref="G107">wet_bulb_temp(Таблица1[[#This Row],[temp]],Таблица1[[#This Row],[humidity_ratio]],Таблица1[[#This Row],[pressure_kpa]])</f>
        <v>15.711651516481911</v>
      </c>
      <c r="H107" s="5" cm="1">
        <f t="array" ref="H107">wet_bulb_temp_simple(Таблица1[[#This Row],[temp]],Таблица1[[#This Row],[humidity]])</f>
        <v>16.068557060398465</v>
      </c>
      <c r="I107" s="5">
        <f>IF(Таблица1[[#This Row],[wet_bulb_thermo]]+$F$1&lt;20,20,Таблица1[[#This Row],[wet_bulb_thermo]]+$F$1)</f>
        <v>25.711651516481911</v>
      </c>
      <c r="J107" s="9">
        <f>Таблица1[[#This Row],[Tcold]]+$I$1</f>
        <v>35.711651516481908</v>
      </c>
      <c r="K107" s="12" cm="1">
        <f t="array" ref="K107">evaporation(Таблица1[[#This Row],[Thot]],Таблица1[[#This Row],[Tcold]],Таблица1[[#This Row],[temp]],Таблица1[[#This Row],[humidity_ratio]],Таблица1[[#This Row],[pressure_kpa]])/$I$1</f>
        <v>1.535408442133747E-3</v>
      </c>
      <c r="L107">
        <f>MONTH(Таблица1[[#This Row],[date]])</f>
        <v>4</v>
      </c>
      <c r="M107" t="str">
        <f>IF(AND(Таблица1[[#This Row],[month]]&gt;3, Таблица1[[#This Row],[month]]&lt;11),"SUMMER","WINTER")</f>
        <v>SUMMER</v>
      </c>
    </row>
    <row r="108" spans="1:13" x14ac:dyDescent="0.25">
      <c r="A108" s="2">
        <v>44288</v>
      </c>
      <c r="B108" s="5">
        <v>27.65</v>
      </c>
      <c r="C108" s="5">
        <v>754.375</v>
      </c>
      <c r="D108" s="5">
        <v>33.125</v>
      </c>
      <c r="E108" s="5">
        <f>Таблица1[[#This Row],[pressure]]/760*101325</f>
        <v>100575.06167763159</v>
      </c>
      <c r="F108" s="7">
        <f>Таблица1[[#This Row],[humidity]]/100</f>
        <v>0.33124999999999999</v>
      </c>
      <c r="G108" s="5" cm="1">
        <f t="array" ref="G108">wet_bulb_temp(Таблица1[[#This Row],[temp]],Таблица1[[#This Row],[humidity_ratio]],Таблица1[[#This Row],[pressure_kpa]])</f>
        <v>16.852997846912512</v>
      </c>
      <c r="H108" s="5" cm="1">
        <f t="array" ref="H108">wet_bulb_temp_simple(Таблица1[[#This Row],[temp]],Таблица1[[#This Row],[humidity]])</f>
        <v>17.230494478431872</v>
      </c>
      <c r="I108" s="5">
        <f>IF(Таблица1[[#This Row],[wet_bulb_thermo]]+$F$1&lt;20,20,Таблица1[[#This Row],[wet_bulb_thermo]]+$F$1)</f>
        <v>26.852997846912512</v>
      </c>
      <c r="J108" s="9">
        <f>Таблица1[[#This Row],[Tcold]]+$I$1</f>
        <v>36.852997846912515</v>
      </c>
      <c r="K108" s="12" cm="1">
        <f t="array" ref="K108">evaporation(Таблица1[[#This Row],[Thot]],Таблица1[[#This Row],[Tcold]],Таблица1[[#This Row],[temp]],Таблица1[[#This Row],[humidity_ratio]],Таблица1[[#This Row],[pressure_kpa]])/$I$1</f>
        <v>1.5151023060702663E-3</v>
      </c>
      <c r="L108">
        <f>MONTH(Таблица1[[#This Row],[date]])</f>
        <v>4</v>
      </c>
      <c r="M108" t="str">
        <f>IF(AND(Таблица1[[#This Row],[month]]&gt;3, Таблица1[[#This Row],[month]]&lt;11),"SUMMER","WINTER")</f>
        <v>SUMMER</v>
      </c>
    </row>
    <row r="109" spans="1:13" x14ac:dyDescent="0.25">
      <c r="A109" s="2">
        <v>44289</v>
      </c>
      <c r="B109" s="5">
        <v>23.925000000000001</v>
      </c>
      <c r="C109" s="5">
        <v>757.375</v>
      </c>
      <c r="D109" s="5">
        <v>27.625</v>
      </c>
      <c r="E109" s="5">
        <f>Таблица1[[#This Row],[pressure]]/760*101325</f>
        <v>100975.02878289473</v>
      </c>
      <c r="F109" s="7">
        <f>Таблица1[[#This Row],[humidity]]/100</f>
        <v>0.27625</v>
      </c>
      <c r="G109" s="5" cm="1">
        <f t="array" ref="G109">wet_bulb_temp(Таблица1[[#This Row],[temp]],Таблица1[[#This Row],[humidity_ratio]],Таблица1[[#This Row],[pressure_kpa]])</f>
        <v>13.153546342188557</v>
      </c>
      <c r="H109" s="5" cm="1">
        <f t="array" ref="H109">wet_bulb_temp_simple(Таблица1[[#This Row],[temp]],Таблица1[[#This Row],[humidity]])</f>
        <v>13.334564170323091</v>
      </c>
      <c r="I109" s="5">
        <f>IF(Таблица1[[#This Row],[wet_bulb_thermo]]+$F$1&lt;20,20,Таблица1[[#This Row],[wet_bulb_thermo]]+$F$1)</f>
        <v>23.153546342188555</v>
      </c>
      <c r="J109" s="9">
        <f>Таблица1[[#This Row],[Tcold]]+$I$1</f>
        <v>33.153546342188555</v>
      </c>
      <c r="K109" s="12" cm="1">
        <f t="array" ref="K109">evaporation(Таблица1[[#This Row],[Thot]],Таблица1[[#This Row],[Tcold]],Таблица1[[#This Row],[temp]],Таблица1[[#This Row],[humidity_ratio]],Таблица1[[#This Row],[pressure_kpa]])/$I$1</f>
        <v>1.4837508068165557E-3</v>
      </c>
      <c r="L109">
        <f>MONTH(Таблица1[[#This Row],[date]])</f>
        <v>4</v>
      </c>
      <c r="M109" t="str">
        <f>IF(AND(Таблица1[[#This Row],[month]]&gt;3, Таблица1[[#This Row],[month]]&lt;11),"SUMMER","WINTER")</f>
        <v>SUMMER</v>
      </c>
    </row>
    <row r="110" spans="1:13" x14ac:dyDescent="0.25">
      <c r="A110" s="2">
        <v>44290</v>
      </c>
      <c r="B110" s="5">
        <v>21.45</v>
      </c>
      <c r="C110" s="5">
        <v>759.875</v>
      </c>
      <c r="D110" s="5">
        <v>32.625</v>
      </c>
      <c r="E110" s="5">
        <f>Таблица1[[#This Row],[pressure]]/760*101325</f>
        <v>101308.33470394736</v>
      </c>
      <c r="F110" s="7">
        <f>Таблица1[[#This Row],[humidity]]/100</f>
        <v>0.32624999999999998</v>
      </c>
      <c r="G110" s="5" cm="1">
        <f t="array" ref="G110">wet_bulb_temp(Таблица1[[#This Row],[temp]],Таблица1[[#This Row],[humidity_ratio]],Таблица1[[#This Row],[pressure_kpa]])</f>
        <v>12.236480857834271</v>
      </c>
      <c r="H110" s="5" cm="1">
        <f t="array" ref="H110">wet_bulb_temp_simple(Таблица1[[#This Row],[temp]],Таблица1[[#This Row],[humidity]])</f>
        <v>12.346012202211666</v>
      </c>
      <c r="I110" s="5">
        <f>IF(Таблица1[[#This Row],[wet_bulb_thermo]]+$F$1&lt;20,20,Таблица1[[#This Row],[wet_bulb_thermo]]+$F$1)</f>
        <v>22.236480857834273</v>
      </c>
      <c r="J110" s="9">
        <f>Таблица1[[#This Row],[Tcold]]+$I$1</f>
        <v>32.236480857834273</v>
      </c>
      <c r="K110" s="12" cm="1">
        <f t="array" ref="K110">evaporation(Таблица1[[#This Row],[Thot]],Таблица1[[#This Row],[Tcold]],Таблица1[[#This Row],[temp]],Таблица1[[#This Row],[humidity_ratio]],Таблица1[[#This Row],[pressure_kpa]])/$I$1</f>
        <v>1.440130748255352E-3</v>
      </c>
      <c r="L110">
        <f>MONTH(Таблица1[[#This Row],[date]])</f>
        <v>4</v>
      </c>
      <c r="M110" t="str">
        <f>IF(AND(Таблица1[[#This Row],[month]]&gt;3, Таблица1[[#This Row],[month]]&lt;11),"SUMMER","WINTER")</f>
        <v>SUMMER</v>
      </c>
    </row>
    <row r="111" spans="1:13" x14ac:dyDescent="0.25">
      <c r="A111" s="2">
        <v>44291</v>
      </c>
      <c r="B111" s="5">
        <v>22.8125</v>
      </c>
      <c r="C111" s="5">
        <v>760.05</v>
      </c>
      <c r="D111" s="5">
        <v>31.375</v>
      </c>
      <c r="E111" s="5">
        <f>Таблица1[[#This Row],[pressure]]/760*101325</f>
        <v>101331.66611842105</v>
      </c>
      <c r="F111" s="7">
        <f>Таблица1[[#This Row],[humidity]]/100</f>
        <v>0.31374999999999997</v>
      </c>
      <c r="G111" s="5" cm="1">
        <f t="array" ref="G111">wet_bulb_temp(Таблица1[[#This Row],[temp]],Таблица1[[#This Row],[humidity_ratio]],Таблица1[[#This Row],[pressure_kpa]])</f>
        <v>13.008787549714988</v>
      </c>
      <c r="H111" s="5" cm="1">
        <f t="array" ref="H111">wet_bulb_temp_simple(Таблица1[[#This Row],[temp]],Таблица1[[#This Row],[humidity]])</f>
        <v>13.18201386931247</v>
      </c>
      <c r="I111" s="5">
        <f>IF(Таблица1[[#This Row],[wet_bulb_thermo]]+$F$1&lt;20,20,Таблица1[[#This Row],[wet_bulb_thermo]]+$F$1)</f>
        <v>23.008787549714988</v>
      </c>
      <c r="J111" s="9">
        <f>Таблица1[[#This Row],[Tcold]]+$I$1</f>
        <v>33.008787549714988</v>
      </c>
      <c r="K111" s="12" cm="1">
        <f t="array" ref="K111">evaporation(Таблица1[[#This Row],[Thot]],Таблица1[[#This Row],[Tcold]],Таблица1[[#This Row],[temp]],Таблица1[[#This Row],[humidity_ratio]],Таблица1[[#This Row],[pressure_kpa]])/$I$1</f>
        <v>1.460722603280515E-3</v>
      </c>
      <c r="L111">
        <f>MONTH(Таблица1[[#This Row],[date]])</f>
        <v>4</v>
      </c>
      <c r="M111" t="str">
        <f>IF(AND(Таблица1[[#This Row],[month]]&gt;3, Таблица1[[#This Row],[month]]&lt;11),"SUMMER","WINTER")</f>
        <v>SUMMER</v>
      </c>
    </row>
    <row r="112" spans="1:13" x14ac:dyDescent="0.25">
      <c r="A112" s="2">
        <v>44292</v>
      </c>
      <c r="B112" s="5">
        <v>24.574999999999999</v>
      </c>
      <c r="C112" s="5">
        <v>759.11249999999995</v>
      </c>
      <c r="D112" s="5">
        <v>31.875</v>
      </c>
      <c r="E112" s="5">
        <f>Таблица1[[#This Row],[pressure]]/760*101325</f>
        <v>101206.67639802631</v>
      </c>
      <c r="F112" s="7">
        <f>Таблица1[[#This Row],[humidity]]/100</f>
        <v>0.31874999999999998</v>
      </c>
      <c r="G112" s="5" cm="1">
        <f t="array" ref="G112">wet_bulb_temp(Таблица1[[#This Row],[temp]],Таблица1[[#This Row],[humidity_ratio]],Таблица1[[#This Row],[pressure_kpa]])</f>
        <v>14.363018189509553</v>
      </c>
      <c r="H112" s="5" cm="1">
        <f t="array" ref="H112">wet_bulb_temp_simple(Таблица1[[#This Row],[temp]],Таблица1[[#This Row],[humidity]])</f>
        <v>14.620672810110923</v>
      </c>
      <c r="I112" s="5">
        <f>IF(Таблица1[[#This Row],[wet_bulb_thermo]]+$F$1&lt;20,20,Таблица1[[#This Row],[wet_bulb_thermo]]+$F$1)</f>
        <v>24.363018189509553</v>
      </c>
      <c r="J112" s="9">
        <f>Таблица1[[#This Row],[Tcold]]+$I$1</f>
        <v>34.363018189509553</v>
      </c>
      <c r="K112" s="12" cm="1">
        <f t="array" ref="K112">evaporation(Таблица1[[#This Row],[Thot]],Таблица1[[#This Row],[Tcold]],Таблица1[[#This Row],[temp]],Таблица1[[#This Row],[humidity_ratio]],Таблица1[[#This Row],[pressure_kpa]])/$I$1</f>
        <v>1.4820091867232181E-3</v>
      </c>
      <c r="L112">
        <f>MONTH(Таблица1[[#This Row],[date]])</f>
        <v>4</v>
      </c>
      <c r="M112" t="str">
        <f>IF(AND(Таблица1[[#This Row],[month]]&gt;3, Таблица1[[#This Row],[month]]&lt;11),"SUMMER","WINTER")</f>
        <v>SUMMER</v>
      </c>
    </row>
    <row r="113" spans="1:13" x14ac:dyDescent="0.25">
      <c r="A113" s="2">
        <v>44293</v>
      </c>
      <c r="B113" s="5">
        <v>26.8</v>
      </c>
      <c r="C113" s="5">
        <v>758.05</v>
      </c>
      <c r="D113" s="5">
        <v>27.375</v>
      </c>
      <c r="E113" s="5">
        <f>Таблица1[[#This Row],[pressure]]/760*101325</f>
        <v>101065.02138157895</v>
      </c>
      <c r="F113" s="7">
        <f>Таблица1[[#This Row],[humidity]]/100</f>
        <v>0.27374999999999999</v>
      </c>
      <c r="G113" s="5" cm="1">
        <f t="array" ref="G113">wet_bulb_temp(Таблица1[[#This Row],[temp]],Таблица1[[#This Row],[humidity_ratio]],Таблица1[[#This Row],[pressure_kpa]])</f>
        <v>15.078542565520033</v>
      </c>
      <c r="H113" s="5" cm="1">
        <f t="array" ref="H113">wet_bulb_temp_simple(Таблица1[[#This Row],[temp]],Таблица1[[#This Row],[humidity]])</f>
        <v>15.406985412786536</v>
      </c>
      <c r="I113" s="5">
        <f>IF(Таблица1[[#This Row],[wet_bulb_thermo]]+$F$1&lt;20,20,Таблица1[[#This Row],[wet_bulb_thermo]]+$F$1)</f>
        <v>25.078542565520031</v>
      </c>
      <c r="J113" s="9">
        <f>Таблица1[[#This Row],[Tcold]]+$I$1</f>
        <v>35.078542565520031</v>
      </c>
      <c r="K113" s="12" cm="1">
        <f t="array" ref="K113">evaporation(Таблица1[[#This Row],[Thot]],Таблица1[[#This Row],[Tcold]],Таблица1[[#This Row],[temp]],Таблица1[[#This Row],[humidity_ratio]],Таблица1[[#This Row],[pressure_kpa]])/$I$1</f>
        <v>1.5185056570571045E-3</v>
      </c>
      <c r="L113">
        <f>MONTH(Таблица1[[#This Row],[date]])</f>
        <v>4</v>
      </c>
      <c r="M113" t="str">
        <f>IF(AND(Таблица1[[#This Row],[month]]&gt;3, Таблица1[[#This Row],[month]]&lt;11),"SUMMER","WINTER")</f>
        <v>SUMMER</v>
      </c>
    </row>
    <row r="114" spans="1:13" x14ac:dyDescent="0.25">
      <c r="A114" s="2">
        <v>44294</v>
      </c>
      <c r="B114" s="5">
        <v>28.412500000000001</v>
      </c>
      <c r="C114" s="5">
        <v>755.36249999999995</v>
      </c>
      <c r="D114" s="5">
        <v>27.5</v>
      </c>
      <c r="E114" s="5">
        <f>Таблица1[[#This Row],[pressure]]/760*101325</f>
        <v>100706.71751644736</v>
      </c>
      <c r="F114" s="7">
        <f>Таблица1[[#This Row],[humidity]]/100</f>
        <v>0.27500000000000002</v>
      </c>
      <c r="G114" s="5" cm="1">
        <f t="array" ref="G114">wet_bulb_temp(Таблица1[[#This Row],[temp]],Таблица1[[#This Row],[humidity_ratio]],Таблица1[[#This Row],[pressure_kpa]])</f>
        <v>16.230704661217938</v>
      </c>
      <c r="H114" s="5" cm="1">
        <f t="array" ref="H114">wet_bulb_temp_simple(Таблица1[[#This Row],[temp]],Таблица1[[#This Row],[humidity]])</f>
        <v>16.624110790143387</v>
      </c>
      <c r="I114" s="5">
        <f>IF(Таблица1[[#This Row],[wet_bulb_thermo]]+$F$1&lt;20,20,Таблица1[[#This Row],[wet_bulb_thermo]]+$F$1)</f>
        <v>26.230704661217938</v>
      </c>
      <c r="J114" s="9">
        <f>Таблица1[[#This Row],[Tcold]]+$I$1</f>
        <v>36.230704661217942</v>
      </c>
      <c r="K114" s="12" cm="1">
        <f t="array" ref="K114">evaporation(Таблица1[[#This Row],[Thot]],Таблица1[[#This Row],[Tcold]],Таблица1[[#This Row],[temp]],Таблица1[[#This Row],[humidity_ratio]],Таблица1[[#This Row],[pressure_kpa]])/$I$1</f>
        <v>1.5361082420555807E-3</v>
      </c>
      <c r="L114">
        <f>MONTH(Таблица1[[#This Row],[date]])</f>
        <v>4</v>
      </c>
      <c r="M114" t="str">
        <f>IF(AND(Таблица1[[#This Row],[month]]&gt;3, Таблица1[[#This Row],[month]]&lt;11),"SUMMER","WINTER")</f>
        <v>SUMMER</v>
      </c>
    </row>
    <row r="115" spans="1:13" x14ac:dyDescent="0.25">
      <c r="A115" s="2">
        <v>44295</v>
      </c>
      <c r="B115" s="5">
        <v>29.662500000000001</v>
      </c>
      <c r="C115" s="5">
        <v>752.67499999999995</v>
      </c>
      <c r="D115" s="5">
        <v>25.375</v>
      </c>
      <c r="E115" s="5">
        <f>Таблица1[[#This Row],[pressure]]/760*101325</f>
        <v>100348.41365131579</v>
      </c>
      <c r="F115" s="7">
        <f>Таблица1[[#This Row],[humidity]]/100</f>
        <v>0.25374999999999998</v>
      </c>
      <c r="G115" s="5" cm="1">
        <f t="array" ref="G115">wet_bulb_temp(Таблица1[[#This Row],[temp]],Таблица1[[#This Row],[humidity_ratio]],Таблица1[[#This Row],[pressure_kpa]])</f>
        <v>16.637043869343493</v>
      </c>
      <c r="H115" s="5" cm="1">
        <f t="array" ref="H115">wet_bulb_temp_simple(Таблица1[[#This Row],[temp]],Таблица1[[#This Row],[humidity]])</f>
        <v>17.044745980569669</v>
      </c>
      <c r="I115" s="5">
        <f>IF(Таблица1[[#This Row],[wet_bulb_thermo]]+$F$1&lt;20,20,Таблица1[[#This Row],[wet_bulb_thermo]]+$F$1)</f>
        <v>26.637043869343493</v>
      </c>
      <c r="J115" s="9">
        <f>Таблица1[[#This Row],[Tcold]]+$I$1</f>
        <v>36.637043869343493</v>
      </c>
      <c r="K115" s="12" cm="1">
        <f t="array" ref="K115">evaporation(Таблица1[[#This Row],[Thot]],Таблица1[[#This Row],[Tcold]],Таблица1[[#This Row],[temp]],Таблица1[[#This Row],[humidity_ratio]],Таблица1[[#This Row],[pressure_kpa]])/$I$1</f>
        <v>1.5549597322976501E-3</v>
      </c>
      <c r="L115">
        <f>MONTH(Таблица1[[#This Row],[date]])</f>
        <v>4</v>
      </c>
      <c r="M115" t="str">
        <f>IF(AND(Таблица1[[#This Row],[month]]&gt;3, Таблица1[[#This Row],[month]]&lt;11),"SUMMER","WINTER")</f>
        <v>SUMMER</v>
      </c>
    </row>
    <row r="116" spans="1:13" x14ac:dyDescent="0.25">
      <c r="A116" s="2">
        <v>44296</v>
      </c>
      <c r="B116" s="5">
        <v>27.3</v>
      </c>
      <c r="C116" s="5">
        <v>753.35</v>
      </c>
      <c r="D116" s="5">
        <v>21.375</v>
      </c>
      <c r="E116" s="5">
        <f>Таблица1[[#This Row],[pressure]]/760*101325</f>
        <v>100438.40625000001</v>
      </c>
      <c r="F116" s="7">
        <f>Таблица1[[#This Row],[humidity]]/100</f>
        <v>0.21375</v>
      </c>
      <c r="G116" s="5" cm="1">
        <f t="array" ref="G116">wet_bulb_temp(Таблица1[[#This Row],[temp]],Таблица1[[#This Row],[humidity_ratio]],Таблица1[[#This Row],[pressure_kpa]])</f>
        <v>14.204916427601855</v>
      </c>
      <c r="H116" s="5" cm="1">
        <f t="array" ref="H116">wet_bulb_temp_simple(Таблица1[[#This Row],[temp]],Таблица1[[#This Row],[humidity]])</f>
        <v>14.40327491973096</v>
      </c>
      <c r="I116" s="5">
        <f>IF(Таблица1[[#This Row],[wet_bulb_thermo]]+$F$1&lt;20,20,Таблица1[[#This Row],[wet_bulb_thermo]]+$F$1)</f>
        <v>24.204916427601855</v>
      </c>
      <c r="J116" s="9">
        <f>Таблица1[[#This Row],[Tcold]]+$I$1</f>
        <v>34.204916427601859</v>
      </c>
      <c r="K116" s="12" cm="1">
        <f t="array" ref="K116">evaporation(Таблица1[[#This Row],[Thot]],Таблица1[[#This Row],[Tcold]],Таблица1[[#This Row],[temp]],Таблица1[[#This Row],[humidity_ratio]],Таблица1[[#This Row],[pressure_kpa]])/$I$1</f>
        <v>1.5413286166844982E-3</v>
      </c>
      <c r="L116">
        <f>MONTH(Таблица1[[#This Row],[date]])</f>
        <v>4</v>
      </c>
      <c r="M116" t="str">
        <f>IF(AND(Таблица1[[#This Row],[month]]&gt;3, Таблица1[[#This Row],[month]]&lt;11),"SUMMER","WINTER")</f>
        <v>SUMMER</v>
      </c>
    </row>
    <row r="117" spans="1:13" x14ac:dyDescent="0.25">
      <c r="A117" s="2">
        <v>44297</v>
      </c>
      <c r="B117" s="5">
        <v>27.512499999999999</v>
      </c>
      <c r="C117" s="5">
        <v>756.08749999999998</v>
      </c>
      <c r="D117" s="5">
        <v>29.5</v>
      </c>
      <c r="E117" s="5">
        <f>Таблица1[[#This Row],[pressure]]/760*101325</f>
        <v>100803.37623355263</v>
      </c>
      <c r="F117" s="7">
        <f>Таблица1[[#This Row],[humidity]]/100</f>
        <v>0.29499999999999998</v>
      </c>
      <c r="G117" s="5" cm="1">
        <f t="array" ref="G117">wet_bulb_temp(Таблица1[[#This Row],[temp]],Таблица1[[#This Row],[humidity_ratio]],Таблица1[[#This Row],[pressure_kpa]])</f>
        <v>16.01434951700287</v>
      </c>
      <c r="H117" s="5" cm="1">
        <f t="array" ref="H117">wet_bulb_temp_simple(Таблица1[[#This Row],[temp]],Таблица1[[#This Row],[humidity]])</f>
        <v>16.385714385495309</v>
      </c>
      <c r="I117" s="5">
        <f>IF(Таблица1[[#This Row],[wet_bulb_thermo]]+$F$1&lt;20,20,Таблица1[[#This Row],[wet_bulb_thermo]]+$F$1)</f>
        <v>26.01434951700287</v>
      </c>
      <c r="J117" s="9">
        <f>Таблица1[[#This Row],[Tcold]]+$I$1</f>
        <v>36.01434951700287</v>
      </c>
      <c r="K117" s="12" cm="1">
        <f t="array" ref="K117">evaporation(Таблица1[[#This Row],[Thot]],Таблица1[[#This Row],[Tcold]],Таблица1[[#This Row],[temp]],Таблица1[[#This Row],[humidity_ratio]],Таблица1[[#This Row],[pressure_kpa]])/$I$1</f>
        <v>1.5214855241188388E-3</v>
      </c>
      <c r="L117">
        <f>MONTH(Таблица1[[#This Row],[date]])</f>
        <v>4</v>
      </c>
      <c r="M117" t="str">
        <f>IF(AND(Таблица1[[#This Row],[month]]&gt;3, Таблица1[[#This Row],[month]]&lt;11),"SUMMER","WINTER")</f>
        <v>SUMMER</v>
      </c>
    </row>
    <row r="118" spans="1:13" x14ac:dyDescent="0.25">
      <c r="A118" s="2">
        <v>44298</v>
      </c>
      <c r="B118" s="5">
        <v>28</v>
      </c>
      <c r="C118" s="5">
        <v>756.9</v>
      </c>
      <c r="D118" s="5">
        <v>32.125</v>
      </c>
      <c r="E118" s="5">
        <f>Таблица1[[#This Row],[pressure]]/760*101325</f>
        <v>100911.70065789473</v>
      </c>
      <c r="F118" s="7">
        <f>Таблица1[[#This Row],[humidity]]/100</f>
        <v>0.32124999999999998</v>
      </c>
      <c r="G118" s="5" cm="1">
        <f t="array" ref="G118">wet_bulb_temp(Таблица1[[#This Row],[temp]],Таблица1[[#This Row],[humidity_ratio]],Таблица1[[#This Row],[pressure_kpa]])</f>
        <v>16.883544257340368</v>
      </c>
      <c r="H118" s="5" cm="1">
        <f t="array" ref="H118">wet_bulb_temp_simple(Таблица1[[#This Row],[temp]],Таблица1[[#This Row],[humidity]])</f>
        <v>17.299046732656734</v>
      </c>
      <c r="I118" s="5">
        <f>IF(Таблица1[[#This Row],[wet_bulb_thermo]]+$F$1&lt;20,20,Таблица1[[#This Row],[wet_bulb_thermo]]+$F$1)</f>
        <v>26.883544257340368</v>
      </c>
      <c r="J118" s="9">
        <f>Таблица1[[#This Row],[Tcold]]+$I$1</f>
        <v>36.883544257340368</v>
      </c>
      <c r="K118" s="12" cm="1">
        <f t="array" ref="K118">evaporation(Таблица1[[#This Row],[Thot]],Таблица1[[#This Row],[Tcold]],Таблица1[[#This Row],[temp]],Таблица1[[#This Row],[humidity_ratio]],Таблица1[[#This Row],[pressure_kpa]])/$I$1</f>
        <v>1.5205297234173079E-3</v>
      </c>
      <c r="L118">
        <f>MONTH(Таблица1[[#This Row],[date]])</f>
        <v>4</v>
      </c>
      <c r="M118" t="str">
        <f>IF(AND(Таблица1[[#This Row],[month]]&gt;3, Таблица1[[#This Row],[month]]&lt;11),"SUMMER","WINTER")</f>
        <v>SUMMER</v>
      </c>
    </row>
    <row r="119" spans="1:13" x14ac:dyDescent="0.25">
      <c r="A119" s="2">
        <v>44299</v>
      </c>
      <c r="B119" s="5">
        <v>28.975000000000001</v>
      </c>
      <c r="C119" s="5">
        <v>756.21249999999998</v>
      </c>
      <c r="D119" s="5">
        <v>28.5</v>
      </c>
      <c r="E119" s="5">
        <f>Таблица1[[#This Row],[pressure]]/760*101325</f>
        <v>100820.04152960525</v>
      </c>
      <c r="F119" s="7">
        <f>Таблица1[[#This Row],[humidity]]/100</f>
        <v>0.28499999999999998</v>
      </c>
      <c r="G119" s="5" cm="1">
        <f t="array" ref="G119">wet_bulb_temp(Таблица1[[#This Row],[temp]],Таблица1[[#This Row],[humidity_ratio]],Таблица1[[#This Row],[pressure_kpa]])</f>
        <v>16.824773630379408</v>
      </c>
      <c r="H119" s="5" cm="1">
        <f t="array" ref="H119">wet_bulb_temp_simple(Таблица1[[#This Row],[temp]],Таблица1[[#This Row],[humidity]])</f>
        <v>17.264332222839457</v>
      </c>
      <c r="I119" s="5">
        <f>IF(Таблица1[[#This Row],[wet_bulb_thermo]]+$F$1&lt;20,20,Таблица1[[#This Row],[wet_bulb_thermo]]+$F$1)</f>
        <v>26.824773630379408</v>
      </c>
      <c r="J119" s="9">
        <f>Таблица1[[#This Row],[Tcold]]+$I$1</f>
        <v>36.824773630379411</v>
      </c>
      <c r="K119" s="12" cm="1">
        <f t="array" ref="K119">evaporation(Таблица1[[#This Row],[Thot]],Таблица1[[#This Row],[Tcold]],Таблица1[[#This Row],[temp]],Таблица1[[#This Row],[humidity_ratio]],Таблица1[[#This Row],[pressure_kpa]])/$I$1</f>
        <v>1.5392670880170392E-3</v>
      </c>
      <c r="L119">
        <f>MONTH(Таблица1[[#This Row],[date]])</f>
        <v>4</v>
      </c>
      <c r="M119" t="str">
        <f>IF(AND(Таблица1[[#This Row],[month]]&gt;3, Таблица1[[#This Row],[month]]&lt;11),"SUMMER","WINTER")</f>
        <v>SUMMER</v>
      </c>
    </row>
    <row r="120" spans="1:13" x14ac:dyDescent="0.25">
      <c r="A120" s="2">
        <v>44300</v>
      </c>
      <c r="B120" s="5">
        <v>26.824999999999999</v>
      </c>
      <c r="C120" s="5">
        <v>757.07500000000005</v>
      </c>
      <c r="D120" s="5">
        <v>34.375</v>
      </c>
      <c r="E120" s="5">
        <f>Таблица1[[#This Row],[pressure]]/760*101325</f>
        <v>100935.03207236843</v>
      </c>
      <c r="F120" s="7">
        <f>Таблица1[[#This Row],[humidity]]/100</f>
        <v>0.34375</v>
      </c>
      <c r="G120" s="5" cm="1">
        <f t="array" ref="G120">wet_bulb_temp(Таблица1[[#This Row],[temp]],Таблица1[[#This Row],[humidity_ratio]],Таблица1[[#This Row],[pressure_kpa]])</f>
        <v>16.472072320255688</v>
      </c>
      <c r="H120" s="5" cm="1">
        <f t="array" ref="H120">wet_bulb_temp_simple(Таблица1[[#This Row],[temp]],Таблица1[[#This Row],[humidity]])</f>
        <v>16.831823668388061</v>
      </c>
      <c r="I120" s="5">
        <f>IF(Таблица1[[#This Row],[wet_bulb_thermo]]+$F$1&lt;20,20,Таблица1[[#This Row],[wet_bulb_thermo]]+$F$1)</f>
        <v>26.472072320255688</v>
      </c>
      <c r="J120" s="9">
        <f>Таблица1[[#This Row],[Tcold]]+$I$1</f>
        <v>36.472072320255691</v>
      </c>
      <c r="K120" s="12" cm="1">
        <f t="array" ref="K120">evaporation(Таблица1[[#This Row],[Thot]],Таблица1[[#This Row],[Tcold]],Таблица1[[#This Row],[temp]],Таблица1[[#This Row],[humidity_ratio]],Таблица1[[#This Row],[pressure_kpa]])/$I$1</f>
        <v>1.5031621855777137E-3</v>
      </c>
      <c r="L120">
        <f>MONTH(Таблица1[[#This Row],[date]])</f>
        <v>4</v>
      </c>
      <c r="M120" t="str">
        <f>IF(AND(Таблица1[[#This Row],[month]]&gt;3, Таблица1[[#This Row],[month]]&lt;11),"SUMMER","WINTER")</f>
        <v>SUMMER</v>
      </c>
    </row>
    <row r="121" spans="1:13" x14ac:dyDescent="0.25">
      <c r="A121" s="2">
        <v>44301</v>
      </c>
      <c r="B121" s="5">
        <v>25.0625</v>
      </c>
      <c r="C121" s="5">
        <v>757.88750000000005</v>
      </c>
      <c r="D121" s="5">
        <v>21.25</v>
      </c>
      <c r="E121" s="5">
        <f>Таблица1[[#This Row],[pressure]]/760*101325</f>
        <v>101043.35649671053</v>
      </c>
      <c r="F121" s="7">
        <f>Таблица1[[#This Row],[humidity]]/100</f>
        <v>0.21249999999999999</v>
      </c>
      <c r="G121" s="5" cm="1">
        <f t="array" ref="G121">wet_bulb_temp(Таблица1[[#This Row],[temp]],Таблица1[[#This Row],[humidity_ratio]],Таблица1[[#This Row],[pressure_kpa]])</f>
        <v>12.713939550541417</v>
      </c>
      <c r="H121" s="5" cm="1">
        <f t="array" ref="H121">wet_bulb_temp_simple(Таблица1[[#This Row],[temp]],Таблица1[[#This Row],[humidity]])</f>
        <v>12.826611175516183</v>
      </c>
      <c r="I121" s="5">
        <f>IF(Таблица1[[#This Row],[wet_bulb_thermo]]+$F$1&lt;20,20,Таблица1[[#This Row],[wet_bulb_thermo]]+$F$1)</f>
        <v>22.713939550541419</v>
      </c>
      <c r="J121" s="9">
        <f>Таблица1[[#This Row],[Tcold]]+$I$1</f>
        <v>32.713939550541419</v>
      </c>
      <c r="K121" s="12" cm="1">
        <f t="array" ref="K121">evaporation(Таблица1[[#This Row],[Thot]],Таблица1[[#This Row],[Tcold]],Таблица1[[#This Row],[temp]],Таблица1[[#This Row],[humidity_ratio]],Таблица1[[#This Row],[pressure_kpa]])/$I$1</f>
        <v>1.5143662577236511E-3</v>
      </c>
      <c r="L121">
        <f>MONTH(Таблица1[[#This Row],[date]])</f>
        <v>4</v>
      </c>
      <c r="M121" t="str">
        <f>IF(AND(Таблица1[[#This Row],[month]]&gt;3, Таблица1[[#This Row],[month]]&lt;11),"SUMMER","WINTER")</f>
        <v>SUMMER</v>
      </c>
    </row>
    <row r="122" spans="1:13" x14ac:dyDescent="0.25">
      <c r="A122" s="2">
        <v>44302</v>
      </c>
      <c r="B122" s="5">
        <v>25.9</v>
      </c>
      <c r="C122" s="5">
        <v>756.4</v>
      </c>
      <c r="D122" s="5">
        <v>23</v>
      </c>
      <c r="E122" s="5">
        <f>Таблица1[[#This Row],[pressure]]/760*101325</f>
        <v>100845.03947368421</v>
      </c>
      <c r="F122" s="7">
        <f>Таблица1[[#This Row],[humidity]]/100</f>
        <v>0.23</v>
      </c>
      <c r="G122" s="5" cm="1">
        <f t="array" ref="G122">wet_bulb_temp(Таблица1[[#This Row],[temp]],Таблица1[[#This Row],[humidity_ratio]],Таблица1[[#This Row],[pressure_kpa]])</f>
        <v>13.612248666494864</v>
      </c>
      <c r="H122" s="5" cm="1">
        <f t="array" ref="H122">wet_bulb_temp_simple(Таблица1[[#This Row],[temp]],Таблица1[[#This Row],[humidity]])</f>
        <v>13.804512077961967</v>
      </c>
      <c r="I122" s="5">
        <f>IF(Таблица1[[#This Row],[wet_bulb_thermo]]+$F$1&lt;20,20,Таблица1[[#This Row],[wet_bulb_thermo]]+$F$1)</f>
        <v>23.612248666494864</v>
      </c>
      <c r="J122" s="9">
        <f>Таблица1[[#This Row],[Tcold]]+$I$1</f>
        <v>33.612248666494864</v>
      </c>
      <c r="K122" s="12" cm="1">
        <f t="array" ref="K122">evaporation(Таблица1[[#This Row],[Thot]],Таблица1[[#This Row],[Tcold]],Таблица1[[#This Row],[temp]],Таблица1[[#This Row],[humidity_ratio]],Таблица1[[#This Row],[pressure_kpa]])/$I$1</f>
        <v>1.5198912383045425E-3</v>
      </c>
      <c r="L122">
        <f>MONTH(Таблица1[[#This Row],[date]])</f>
        <v>4</v>
      </c>
      <c r="M122" t="str">
        <f>IF(AND(Таблица1[[#This Row],[month]]&gt;3, Таблица1[[#This Row],[month]]&lt;11),"SUMMER","WINTER")</f>
        <v>SUMMER</v>
      </c>
    </row>
    <row r="123" spans="1:13" x14ac:dyDescent="0.25">
      <c r="A123" s="2">
        <v>44303</v>
      </c>
      <c r="B123" s="5">
        <v>27.387499999999999</v>
      </c>
      <c r="C123" s="5">
        <v>755.47500000000002</v>
      </c>
      <c r="D123" s="5">
        <v>26.125</v>
      </c>
      <c r="E123" s="5">
        <f>Таблица1[[#This Row],[pressure]]/760*101325</f>
        <v>100721.71628289473</v>
      </c>
      <c r="F123" s="7">
        <f>Таблица1[[#This Row],[humidity]]/100</f>
        <v>0.26124999999999998</v>
      </c>
      <c r="G123" s="5" cm="1">
        <f t="array" ref="G123">wet_bulb_temp(Таблица1[[#This Row],[temp]],Таблица1[[#This Row],[humidity_ratio]],Таблица1[[#This Row],[pressure_kpa]])</f>
        <v>15.243734297983126</v>
      </c>
      <c r="H123" s="5" cm="1">
        <f t="array" ref="H123">wet_bulb_temp_simple(Таблица1[[#This Row],[temp]],Таблица1[[#This Row],[humidity]])</f>
        <v>15.566711916886112</v>
      </c>
      <c r="I123" s="5">
        <f>IF(Таблица1[[#This Row],[wet_bulb_thermo]]+$F$1&lt;20,20,Таблица1[[#This Row],[wet_bulb_thermo]]+$F$1)</f>
        <v>25.243734297983124</v>
      </c>
      <c r="J123" s="9">
        <f>Таблица1[[#This Row],[Tcold]]+$I$1</f>
        <v>35.243734297983124</v>
      </c>
      <c r="K123" s="12" cm="1">
        <f t="array" ref="K123">evaporation(Таблица1[[#This Row],[Thot]],Таблица1[[#This Row],[Tcold]],Таблица1[[#This Row],[temp]],Таблица1[[#This Row],[humidity_ratio]],Таблица1[[#This Row],[pressure_kpa]])/$I$1</f>
        <v>1.5286438285285156E-3</v>
      </c>
      <c r="L123">
        <f>MONTH(Таблица1[[#This Row],[date]])</f>
        <v>4</v>
      </c>
      <c r="M123" t="str">
        <f>IF(AND(Таблица1[[#This Row],[month]]&gt;3, Таблица1[[#This Row],[month]]&lt;11),"SUMMER","WINTER")</f>
        <v>SUMMER</v>
      </c>
    </row>
    <row r="124" spans="1:13" x14ac:dyDescent="0.25">
      <c r="A124" s="2">
        <v>44304</v>
      </c>
      <c r="B124" s="5">
        <v>28.8</v>
      </c>
      <c r="C124" s="5">
        <v>755.9</v>
      </c>
      <c r="D124" s="5">
        <v>26.125</v>
      </c>
      <c r="E124" s="5">
        <f>Таблица1[[#This Row],[pressure]]/760*101325</f>
        <v>100778.37828947368</v>
      </c>
      <c r="F124" s="7">
        <f>Таблица1[[#This Row],[humidity]]/100</f>
        <v>0.26124999999999998</v>
      </c>
      <c r="G124" s="5" cm="1">
        <f t="array" ref="G124">wet_bulb_temp(Таблица1[[#This Row],[temp]],Таблица1[[#This Row],[humidity_ratio]],Таблица1[[#This Row],[pressure_kpa]])</f>
        <v>16.196714488407686</v>
      </c>
      <c r="H124" s="5" cm="1">
        <f t="array" ref="H124">wet_bulb_temp_simple(Таблица1[[#This Row],[temp]],Таблица1[[#This Row],[humidity]])</f>
        <v>16.595922484107565</v>
      </c>
      <c r="I124" s="5">
        <f>IF(Таблица1[[#This Row],[wet_bulb_thermo]]+$F$1&lt;20,20,Таблица1[[#This Row],[wet_bulb_thermo]]+$F$1)</f>
        <v>26.196714488407686</v>
      </c>
      <c r="J124" s="9">
        <f>Таблица1[[#This Row],[Tcold]]+$I$1</f>
        <v>36.196714488407686</v>
      </c>
      <c r="K124" s="12" cm="1">
        <f t="array" ref="K124">evaporation(Таблица1[[#This Row],[Thot]],Таблица1[[#This Row],[Tcold]],Таблица1[[#This Row],[temp]],Таблица1[[#This Row],[humidity_ratio]],Таблица1[[#This Row],[pressure_kpa]])/$I$1</f>
        <v>1.5437151050398251E-3</v>
      </c>
      <c r="L124">
        <f>MONTH(Таблица1[[#This Row],[date]])</f>
        <v>4</v>
      </c>
      <c r="M124" t="str">
        <f>IF(AND(Таблица1[[#This Row],[month]]&gt;3, Таблица1[[#This Row],[month]]&lt;11),"SUMMER","WINTER")</f>
        <v>SUMMER</v>
      </c>
    </row>
    <row r="125" spans="1:13" x14ac:dyDescent="0.25">
      <c r="A125" s="2">
        <v>44305</v>
      </c>
      <c r="B125" s="5">
        <v>29.712499999999999</v>
      </c>
      <c r="C125" s="5">
        <v>755.33749999999998</v>
      </c>
      <c r="D125" s="5">
        <v>29</v>
      </c>
      <c r="E125" s="5">
        <f>Таблица1[[#This Row],[pressure]]/760*101325</f>
        <v>100703.38445723684</v>
      </c>
      <c r="F125" s="7">
        <f>Таблица1[[#This Row],[humidity]]/100</f>
        <v>0.28999999999999998</v>
      </c>
      <c r="G125" s="5" cm="1">
        <f t="array" ref="G125">wet_bulb_temp(Таблица1[[#This Row],[temp]],Таблица1[[#This Row],[humidity_ratio]],Таблица1[[#This Row],[pressure_kpa]])</f>
        <v>17.45277237980569</v>
      </c>
      <c r="H125" s="5" cm="1">
        <f t="array" ref="H125">wet_bulb_temp_simple(Таблица1[[#This Row],[temp]],Таблица1[[#This Row],[humidity]])</f>
        <v>17.927365332846751</v>
      </c>
      <c r="I125" s="5">
        <f>IF(Таблица1[[#This Row],[wet_bulb_thermo]]+$F$1&lt;20,20,Таблица1[[#This Row],[wet_bulb_thermo]]+$F$1)</f>
        <v>27.45277237980569</v>
      </c>
      <c r="J125" s="9">
        <f>Таблица1[[#This Row],[Tcold]]+$I$1</f>
        <v>37.452772379805694</v>
      </c>
      <c r="K125" s="12" cm="1">
        <f t="array" ref="K125">evaporation(Таблица1[[#This Row],[Thot]],Таблица1[[#This Row],[Tcold]],Таблица1[[#This Row],[temp]],Таблица1[[#This Row],[humidity_ratio]],Таблица1[[#This Row],[pressure_kpa]])/$I$1</f>
        <v>1.5455110673485565E-3</v>
      </c>
      <c r="L125">
        <f>MONTH(Таблица1[[#This Row],[date]])</f>
        <v>4</v>
      </c>
      <c r="M125" t="str">
        <f>IF(AND(Таблица1[[#This Row],[month]]&gt;3, Таблица1[[#This Row],[month]]&lt;11),"SUMMER","WINTER")</f>
        <v>SUMMER</v>
      </c>
    </row>
    <row r="126" spans="1:13" x14ac:dyDescent="0.25">
      <c r="A126" s="2">
        <v>44306</v>
      </c>
      <c r="B126" s="5">
        <v>31.1</v>
      </c>
      <c r="C126" s="5">
        <v>754.32500000000005</v>
      </c>
      <c r="D126" s="5">
        <v>29.625</v>
      </c>
      <c r="E126" s="5">
        <f>Таблица1[[#This Row],[pressure]]/760*101325</f>
        <v>100568.39555921053</v>
      </c>
      <c r="F126" s="7">
        <f>Таблица1[[#This Row],[humidity]]/100</f>
        <v>0.29625000000000001</v>
      </c>
      <c r="G126" s="5" cm="1">
        <f t="array" ref="G126">wet_bulb_temp(Таблица1[[#This Row],[temp]],Таблица1[[#This Row],[humidity_ratio]],Таблица1[[#This Row],[pressure_kpa]])</f>
        <v>18.571599372010077</v>
      </c>
      <c r="H126" s="5" cm="1">
        <f t="array" ref="H126">wet_bulb_temp_simple(Таблица1[[#This Row],[temp]],Таблица1[[#This Row],[humidity]])</f>
        <v>19.11214964768682</v>
      </c>
      <c r="I126" s="5">
        <f>IF(Таблица1[[#This Row],[wet_bulb_thermo]]+$F$1&lt;20,20,Таблица1[[#This Row],[wet_bulb_thermo]]+$F$1)</f>
        <v>28.571599372010077</v>
      </c>
      <c r="J126" s="9">
        <f>Таблица1[[#This Row],[Tcold]]+$I$1</f>
        <v>38.571599372010077</v>
      </c>
      <c r="K126" s="12" cm="1">
        <f t="array" ref="K126">evaporation(Таблица1[[#This Row],[Thot]],Таблица1[[#This Row],[Tcold]],Таблица1[[#This Row],[temp]],Таблица1[[#This Row],[humidity_ratio]],Таблица1[[#This Row],[pressure_kpa]])/$I$1</f>
        <v>1.5572835907569573E-3</v>
      </c>
      <c r="L126">
        <f>MONTH(Таблица1[[#This Row],[date]])</f>
        <v>4</v>
      </c>
      <c r="M126" t="str">
        <f>IF(AND(Таблица1[[#This Row],[month]]&gt;3, Таблица1[[#This Row],[month]]&lt;11),"SUMMER","WINTER")</f>
        <v>SUMMER</v>
      </c>
    </row>
    <row r="127" spans="1:13" x14ac:dyDescent="0.25">
      <c r="A127" s="2">
        <v>44307</v>
      </c>
      <c r="B127" s="5">
        <v>30.875</v>
      </c>
      <c r="C127" s="5">
        <v>755.28750000000002</v>
      </c>
      <c r="D127" s="5">
        <v>29.125</v>
      </c>
      <c r="E127" s="5">
        <f>Таблица1[[#This Row],[pressure]]/760*101325</f>
        <v>100696.7183388158</v>
      </c>
      <c r="F127" s="7">
        <f>Таблица1[[#This Row],[humidity]]/100</f>
        <v>0.29125000000000001</v>
      </c>
      <c r="G127" s="5" cm="1">
        <f t="array" ref="G127">wet_bulb_temp(Таблица1[[#This Row],[temp]],Таблица1[[#This Row],[humidity_ratio]],Таблица1[[#This Row],[pressure_kpa]])</f>
        <v>18.29212440045686</v>
      </c>
      <c r="H127" s="5" cm="1">
        <f t="array" ref="H127">wet_bulb_temp_simple(Таблица1[[#This Row],[temp]],Таблица1[[#This Row],[humidity]])</f>
        <v>18.826724160958019</v>
      </c>
      <c r="I127" s="5">
        <f>IF(Таблица1[[#This Row],[wet_bulb_thermo]]+$F$1&lt;20,20,Таблица1[[#This Row],[wet_bulb_thermo]]+$F$1)</f>
        <v>28.29212440045686</v>
      </c>
      <c r="J127" s="9">
        <f>Таблица1[[#This Row],[Tcold]]+$I$1</f>
        <v>38.292124400456856</v>
      </c>
      <c r="K127" s="12" cm="1">
        <f t="array" ref="K127">evaporation(Таблица1[[#This Row],[Thot]],Таблица1[[#This Row],[Tcold]],Таблица1[[#This Row],[temp]],Таблица1[[#This Row],[humidity_ratio]],Таблица1[[#This Row],[pressure_kpa]])/$I$1</f>
        <v>1.5563571157583367E-3</v>
      </c>
      <c r="L127">
        <f>MONTH(Таблица1[[#This Row],[date]])</f>
        <v>4</v>
      </c>
      <c r="M127" t="str">
        <f>IF(AND(Таблица1[[#This Row],[month]]&gt;3, Таблица1[[#This Row],[month]]&lt;11),"SUMMER","WINTER")</f>
        <v>SUMMER</v>
      </c>
    </row>
    <row r="128" spans="1:13" x14ac:dyDescent="0.25">
      <c r="A128" s="2">
        <v>44308</v>
      </c>
      <c r="B128" s="5">
        <v>32.337499999999999</v>
      </c>
      <c r="C128" s="5">
        <v>755.875</v>
      </c>
      <c r="D128" s="5">
        <v>25.25</v>
      </c>
      <c r="E128" s="5">
        <f>Таблица1[[#This Row],[pressure]]/760*101325</f>
        <v>100775.04523026316</v>
      </c>
      <c r="F128" s="7">
        <f>Таблица1[[#This Row],[humidity]]/100</f>
        <v>0.2525</v>
      </c>
      <c r="G128" s="5" cm="1">
        <f t="array" ref="G128">wet_bulb_temp(Таблица1[[#This Row],[temp]],Таблица1[[#This Row],[humidity_ratio]],Таблица1[[#This Row],[pressure_kpa]])</f>
        <v>18.37615474388658</v>
      </c>
      <c r="H128" s="5" cm="1">
        <f t="array" ref="H128">wet_bulb_temp_simple(Таблица1[[#This Row],[temp]],Таблица1[[#This Row],[humidity]])</f>
        <v>18.946525059304737</v>
      </c>
      <c r="I128" s="5">
        <f>IF(Таблица1[[#This Row],[wet_bulb_thermo]]+$F$1&lt;20,20,Таблица1[[#This Row],[wet_bulb_thermo]]+$F$1)</f>
        <v>28.37615474388658</v>
      </c>
      <c r="J128" s="9">
        <f>Таблица1[[#This Row],[Tcold]]+$I$1</f>
        <v>38.37615474388658</v>
      </c>
      <c r="K128" s="12" cm="1">
        <f t="array" ref="K128">evaporation(Таблица1[[#This Row],[Thot]],Таблица1[[#This Row],[Tcold]],Таблица1[[#This Row],[temp]],Таблица1[[#This Row],[humidity_ratio]],Таблица1[[#This Row],[pressure_kpa]])/$I$1</f>
        <v>1.5804159888839042E-3</v>
      </c>
      <c r="L128">
        <f>MONTH(Таблица1[[#This Row],[date]])</f>
        <v>4</v>
      </c>
      <c r="M128" t="str">
        <f>IF(AND(Таблица1[[#This Row],[month]]&gt;3, Таблица1[[#This Row],[month]]&lt;11),"SUMMER","WINTER")</f>
        <v>SUMMER</v>
      </c>
    </row>
    <row r="129" spans="1:13" x14ac:dyDescent="0.25">
      <c r="A129" s="2">
        <v>44309</v>
      </c>
      <c r="B129" s="5">
        <v>32.737499999999997</v>
      </c>
      <c r="C129" s="5">
        <v>754.8</v>
      </c>
      <c r="D129" s="5">
        <v>25.375</v>
      </c>
      <c r="E129" s="5">
        <f>Таблица1[[#This Row],[pressure]]/760*101325</f>
        <v>100631.72368421052</v>
      </c>
      <c r="F129" s="7">
        <f>Таблица1[[#This Row],[humidity]]/100</f>
        <v>0.25374999999999998</v>
      </c>
      <c r="G129" s="5" cm="1">
        <f t="array" ref="G129">wet_bulb_temp(Таблица1[[#This Row],[temp]],Таблица1[[#This Row],[humidity_ratio]],Таблица1[[#This Row],[pressure_kpa]])</f>
        <v>18.683882249734559</v>
      </c>
      <c r="H129" s="5" cm="1">
        <f t="array" ref="H129">wet_bulb_temp_simple(Таблица1[[#This Row],[temp]],Таблица1[[#This Row],[humidity]])</f>
        <v>19.268437944084084</v>
      </c>
      <c r="I129" s="5">
        <f>IF(Таблица1[[#This Row],[wet_bulb_thermo]]+$F$1&lt;20,20,Таблица1[[#This Row],[wet_bulb_thermo]]+$F$1)</f>
        <v>28.683882249734559</v>
      </c>
      <c r="J129" s="9">
        <f>Таблица1[[#This Row],[Tcold]]+$I$1</f>
        <v>38.683882249734559</v>
      </c>
      <c r="K129" s="12" cm="1">
        <f t="array" ref="K129">evaporation(Таблица1[[#This Row],[Thot]],Таблица1[[#This Row],[Tcold]],Таблица1[[#This Row],[temp]],Таблица1[[#This Row],[humidity_ratio]],Таблица1[[#This Row],[pressure_kpa]])/$I$1</f>
        <v>1.583655518618918E-3</v>
      </c>
      <c r="L129">
        <f>MONTH(Таблица1[[#This Row],[date]])</f>
        <v>4</v>
      </c>
      <c r="M129" t="str">
        <f>IF(AND(Таблица1[[#This Row],[month]]&gt;3, Таблица1[[#This Row],[month]]&lt;11),"SUMMER","WINTER")</f>
        <v>SUMMER</v>
      </c>
    </row>
    <row r="130" spans="1:13" x14ac:dyDescent="0.25">
      <c r="A130" s="2">
        <v>44310</v>
      </c>
      <c r="B130" s="5">
        <v>33.712499999999999</v>
      </c>
      <c r="C130" s="5">
        <v>753.28750000000002</v>
      </c>
      <c r="D130" s="5">
        <v>23.125</v>
      </c>
      <c r="E130" s="5">
        <f>Таблица1[[#This Row],[pressure]]/760*101325</f>
        <v>100430.07360197369</v>
      </c>
      <c r="F130" s="7">
        <f>Таблица1[[#This Row],[humidity]]/100</f>
        <v>0.23125000000000001</v>
      </c>
      <c r="G130" s="5" cm="1">
        <f t="array" ref="G130">wet_bulb_temp(Таблица1[[#This Row],[temp]],Таблица1[[#This Row],[humidity_ratio]],Таблица1[[#This Row],[pressure_kpa]])</f>
        <v>18.770021636113668</v>
      </c>
      <c r="H130" s="5" cm="1">
        <f t="array" ref="H130">wet_bulb_temp_simple(Таблица1[[#This Row],[temp]],Таблица1[[#This Row],[humidity]])</f>
        <v>19.348808739008891</v>
      </c>
      <c r="I130" s="5">
        <f>IF(Таблица1[[#This Row],[wet_bulb_thermo]]+$F$1&lt;20,20,Таблица1[[#This Row],[wet_bulb_thermo]]+$F$1)</f>
        <v>28.770021636113668</v>
      </c>
      <c r="J130" s="9">
        <f>Таблица1[[#This Row],[Tcold]]+$I$1</f>
        <v>38.770021636113668</v>
      </c>
      <c r="K130" s="12" cm="1">
        <f t="array" ref="K130">evaporation(Таблица1[[#This Row],[Thot]],Таблица1[[#This Row],[Tcold]],Таблица1[[#This Row],[temp]],Таблица1[[#This Row],[humidity_ratio]],Таблица1[[#This Row],[pressure_kpa]])/$I$1</f>
        <v>1.5992638107297555E-3</v>
      </c>
      <c r="L130">
        <f>MONTH(Таблица1[[#This Row],[date]])</f>
        <v>4</v>
      </c>
      <c r="M130" t="str">
        <f>IF(AND(Таблица1[[#This Row],[month]]&gt;3, Таблица1[[#This Row],[month]]&lt;11),"SUMMER","WINTER")</f>
        <v>SUMMER</v>
      </c>
    </row>
    <row r="131" spans="1:13" x14ac:dyDescent="0.25">
      <c r="A131" s="2">
        <v>44311</v>
      </c>
      <c r="B131" s="5">
        <v>32.325000000000003</v>
      </c>
      <c r="C131" s="5">
        <v>753.47500000000002</v>
      </c>
      <c r="D131" s="5">
        <v>23</v>
      </c>
      <c r="E131" s="5">
        <f>Таблица1[[#This Row],[pressure]]/760*101325</f>
        <v>100455.07154605263</v>
      </c>
      <c r="F131" s="7">
        <f>Таблица1[[#This Row],[humidity]]/100</f>
        <v>0.23</v>
      </c>
      <c r="G131" s="5" cm="1">
        <f t="array" ref="G131">wet_bulb_temp(Таблица1[[#This Row],[temp]],Таблица1[[#This Row],[humidity_ratio]],Таблица1[[#This Row],[pressure_kpa]])</f>
        <v>17.83085581389518</v>
      </c>
      <c r="H131" s="5" cm="1">
        <f t="array" ref="H131">wet_bulb_temp_simple(Таблица1[[#This Row],[temp]],Таблица1[[#This Row],[humidity]])</f>
        <v>18.334909320866437</v>
      </c>
      <c r="I131" s="5">
        <f>IF(Таблица1[[#This Row],[wet_bulb_thermo]]+$F$1&lt;20,20,Таблица1[[#This Row],[wet_bulb_thermo]]+$F$1)</f>
        <v>27.83085581389518</v>
      </c>
      <c r="J131" s="9">
        <f>Таблица1[[#This Row],[Tcold]]+$I$1</f>
        <v>37.830855813895184</v>
      </c>
      <c r="K131" s="12" cm="1">
        <f t="array" ref="K131">evaporation(Таблица1[[#This Row],[Thot]],Таблица1[[#This Row],[Tcold]],Таблица1[[#This Row],[temp]],Таблица1[[#This Row],[humidity_ratio]],Таблица1[[#This Row],[pressure_kpa]])/$I$1</f>
        <v>1.5874684628319848E-3</v>
      </c>
      <c r="L131">
        <f>MONTH(Таблица1[[#This Row],[date]])</f>
        <v>4</v>
      </c>
      <c r="M131" t="str">
        <f>IF(AND(Таблица1[[#This Row],[month]]&gt;3, Таблица1[[#This Row],[month]]&lt;11),"SUMMER","WINTER")</f>
        <v>SUMMER</v>
      </c>
    </row>
    <row r="132" spans="1:13" x14ac:dyDescent="0.25">
      <c r="A132" s="2">
        <v>44312</v>
      </c>
      <c r="B132" s="5">
        <v>32.65</v>
      </c>
      <c r="C132" s="5">
        <v>753.32500000000005</v>
      </c>
      <c r="D132" s="5">
        <v>33.875</v>
      </c>
      <c r="E132" s="5">
        <f>Таблица1[[#This Row],[pressure]]/760*101325</f>
        <v>100435.07319078948</v>
      </c>
      <c r="F132" s="7">
        <f>Таблица1[[#This Row],[humidity]]/100</f>
        <v>0.33875</v>
      </c>
      <c r="G132" s="5" cm="1">
        <f t="array" ref="G132">wet_bulb_temp(Таблица1[[#This Row],[temp]],Таблица1[[#This Row],[humidity_ratio]],Таблица1[[#This Row],[pressure_kpa]])</f>
        <v>20.666265348151256</v>
      </c>
      <c r="H132" s="5" cm="1">
        <f t="array" ref="H132">wet_bulb_temp_simple(Таблица1[[#This Row],[temp]],Таблица1[[#This Row],[humidity]])</f>
        <v>21.274800346706325</v>
      </c>
      <c r="I132" s="5">
        <f>IF(Таблица1[[#This Row],[wet_bulb_thermo]]+$F$1&lt;20,20,Таблица1[[#This Row],[wet_bulb_thermo]]+$F$1)</f>
        <v>30.666265348151256</v>
      </c>
      <c r="J132" s="9">
        <f>Таблица1[[#This Row],[Tcold]]+$I$1</f>
        <v>40.666265348151256</v>
      </c>
      <c r="K132" s="12" cm="1">
        <f t="array" ref="K132">evaporation(Таблица1[[#This Row],[Thot]],Таблица1[[#This Row],[Tcold]],Таблица1[[#This Row],[temp]],Таблица1[[#This Row],[humidity_ratio]],Таблица1[[#This Row],[pressure_kpa]])/$I$1</f>
        <v>1.5610745486817575E-3</v>
      </c>
      <c r="L132">
        <f>MONTH(Таблица1[[#This Row],[date]])</f>
        <v>4</v>
      </c>
      <c r="M132" t="str">
        <f>IF(AND(Таблица1[[#This Row],[month]]&gt;3, Таблица1[[#This Row],[month]]&lt;11),"SUMMER","WINTER")</f>
        <v>SUMMER</v>
      </c>
    </row>
    <row r="133" spans="1:13" x14ac:dyDescent="0.25">
      <c r="A133" s="2">
        <v>44313</v>
      </c>
      <c r="B133" s="5">
        <v>32.112499999999997</v>
      </c>
      <c r="C133" s="5">
        <v>753.08749999999998</v>
      </c>
      <c r="D133" s="5">
        <v>28.125</v>
      </c>
      <c r="E133" s="5">
        <f>Таблица1[[#This Row],[pressure]]/760*101325</f>
        <v>100403.40912828947</v>
      </c>
      <c r="F133" s="7">
        <f>Таблица1[[#This Row],[humidity]]/100</f>
        <v>0.28125</v>
      </c>
      <c r="G133" s="5" cm="1">
        <f t="array" ref="G133">wet_bulb_temp(Таблица1[[#This Row],[temp]],Таблица1[[#This Row],[humidity_ratio]],Таблица1[[#This Row],[pressure_kpa]])</f>
        <v>18.939810080457729</v>
      </c>
      <c r="H133" s="5" cm="1">
        <f t="array" ref="H133">wet_bulb_temp_simple(Таблица1[[#This Row],[temp]],Таблица1[[#This Row],[humidity]])</f>
        <v>19.510486188019708</v>
      </c>
      <c r="I133" s="5">
        <f>IF(Таблица1[[#This Row],[wet_bulb_thermo]]+$F$1&lt;20,20,Таблица1[[#This Row],[wet_bulb_thermo]]+$F$1)</f>
        <v>28.939810080457729</v>
      </c>
      <c r="J133" s="9">
        <f>Таблица1[[#This Row],[Tcold]]+$I$1</f>
        <v>38.939810080457733</v>
      </c>
      <c r="K133" s="12" cm="1">
        <f t="array" ref="K133">evaporation(Таблица1[[#This Row],[Thot]],Таблица1[[#This Row],[Tcold]],Таблица1[[#This Row],[temp]],Таблица1[[#This Row],[humidity_ratio]],Таблица1[[#This Row],[pressure_kpa]])/$I$1</f>
        <v>1.5704525859005537E-3</v>
      </c>
      <c r="L133">
        <f>MONTH(Таблица1[[#This Row],[date]])</f>
        <v>4</v>
      </c>
      <c r="M133" t="str">
        <f>IF(AND(Таблица1[[#This Row],[month]]&gt;3, Таблица1[[#This Row],[month]]&lt;11),"SUMMER","WINTER")</f>
        <v>SUMMER</v>
      </c>
    </row>
    <row r="134" spans="1:13" x14ac:dyDescent="0.25">
      <c r="A134" s="2">
        <v>44314</v>
      </c>
      <c r="B134" s="5">
        <v>32.325000000000003</v>
      </c>
      <c r="C134" s="5">
        <v>754.625</v>
      </c>
      <c r="D134" s="5">
        <v>26</v>
      </c>
      <c r="E134" s="5">
        <f>Таблица1[[#This Row],[pressure]]/760*101325</f>
        <v>100608.39226973684</v>
      </c>
      <c r="F134" s="7">
        <f>Таблица1[[#This Row],[humidity]]/100</f>
        <v>0.26</v>
      </c>
      <c r="G134" s="5" cm="1">
        <f t="array" ref="G134">wet_bulb_temp(Таблица1[[#This Row],[temp]],Таблица1[[#This Row],[humidity_ratio]],Таблица1[[#This Row],[pressure_kpa]])</f>
        <v>18.560968824993882</v>
      </c>
      <c r="H134" s="5" cm="1">
        <f t="array" ref="H134">wet_bulb_temp_simple(Таблица1[[#This Row],[temp]],Таблица1[[#This Row],[humidity]])</f>
        <v>19.132138205534947</v>
      </c>
      <c r="I134" s="5">
        <f>IF(Таблица1[[#This Row],[wet_bulb_thermo]]+$F$1&lt;20,20,Таблица1[[#This Row],[wet_bulb_thermo]]+$F$1)</f>
        <v>28.560968824993882</v>
      </c>
      <c r="J134" s="9">
        <f>Таблица1[[#This Row],[Tcold]]+$I$1</f>
        <v>38.560968824993878</v>
      </c>
      <c r="K134" s="12" cm="1">
        <f t="array" ref="K134">evaporation(Таблица1[[#This Row],[Thot]],Таблица1[[#This Row],[Tcold]],Таблица1[[#This Row],[temp]],Таблица1[[#This Row],[humidity_ratio]],Таблица1[[#This Row],[pressure_kpa]])/$I$1</f>
        <v>1.578169969214693E-3</v>
      </c>
      <c r="L134">
        <f>MONTH(Таблица1[[#This Row],[date]])</f>
        <v>4</v>
      </c>
      <c r="M134" t="str">
        <f>IF(AND(Таблица1[[#This Row],[month]]&gt;3, Таблица1[[#This Row],[month]]&lt;11),"SUMMER","WINTER")</f>
        <v>SUMMER</v>
      </c>
    </row>
    <row r="135" spans="1:13" x14ac:dyDescent="0.25">
      <c r="A135" s="2">
        <v>44315</v>
      </c>
      <c r="B135" s="5">
        <v>30.5625</v>
      </c>
      <c r="C135" s="5">
        <v>754.76250000000005</v>
      </c>
      <c r="D135" s="5">
        <v>20.875</v>
      </c>
      <c r="E135" s="5">
        <f>Таблица1[[#This Row],[pressure]]/760*101325</f>
        <v>100626.72409539475</v>
      </c>
      <c r="F135" s="7">
        <f>Таблица1[[#This Row],[humidity]]/100</f>
        <v>0.20874999999999999</v>
      </c>
      <c r="G135" s="5" cm="1">
        <f t="array" ref="G135">wet_bulb_temp(Таблица1[[#This Row],[temp]],Таблица1[[#This Row],[humidity_ratio]],Таблица1[[#This Row],[pressure_kpa]])</f>
        <v>16.167377203195077</v>
      </c>
      <c r="H135" s="5" cm="1">
        <f t="array" ref="H135">wet_bulb_temp_simple(Таблица1[[#This Row],[temp]],Таблица1[[#This Row],[humidity]])</f>
        <v>16.525063325950491</v>
      </c>
      <c r="I135" s="5">
        <f>IF(Таблица1[[#This Row],[wet_bulb_thermo]]+$F$1&lt;20,20,Таблица1[[#This Row],[wet_bulb_thermo]]+$F$1)</f>
        <v>26.167377203195077</v>
      </c>
      <c r="J135" s="9">
        <f>Таблица1[[#This Row],[Tcold]]+$I$1</f>
        <v>36.167377203195073</v>
      </c>
      <c r="K135" s="12" cm="1">
        <f t="array" ref="K135">evaporation(Таблица1[[#This Row],[Thot]],Таблица1[[#This Row],[Tcold]],Таблица1[[#This Row],[temp]],Таблица1[[#This Row],[humidity_ratio]],Таблица1[[#This Row],[pressure_kpa]])/$I$1</f>
        <v>1.5775971472969052E-3</v>
      </c>
      <c r="L135">
        <f>MONTH(Таблица1[[#This Row],[date]])</f>
        <v>4</v>
      </c>
      <c r="M135" t="str">
        <f>IF(AND(Таблица1[[#This Row],[month]]&gt;3, Таблица1[[#This Row],[month]]&lt;11),"SUMMER","WINTER")</f>
        <v>SUMMER</v>
      </c>
    </row>
    <row r="136" spans="1:13" x14ac:dyDescent="0.25">
      <c r="A136" s="2">
        <v>44316</v>
      </c>
      <c r="B136" s="5">
        <v>30.762499999999999</v>
      </c>
      <c r="C136" s="5">
        <v>752.57499999999993</v>
      </c>
      <c r="D136" s="5">
        <v>25.625</v>
      </c>
      <c r="E136" s="5">
        <f>Таблица1[[#This Row],[pressure]]/760*101325</f>
        <v>100335.08141447368</v>
      </c>
      <c r="F136" s="7">
        <f>Таблица1[[#This Row],[humidity]]/100</f>
        <v>0.25624999999999998</v>
      </c>
      <c r="G136" s="5" cm="1">
        <f t="array" ref="G136">wet_bulb_temp(Таблица1[[#This Row],[temp]],Таблица1[[#This Row],[humidity_ratio]],Таблица1[[#This Row],[pressure_kpa]])</f>
        <v>17.434604879928575</v>
      </c>
      <c r="H136" s="5" cm="1">
        <f t="array" ref="H136">wet_bulb_temp_simple(Таблица1[[#This Row],[temp]],Таблица1[[#This Row],[humidity]])</f>
        <v>17.90240672050005</v>
      </c>
      <c r="I136" s="5">
        <f>IF(Таблица1[[#This Row],[wet_bulb_thermo]]+$F$1&lt;20,20,Таблица1[[#This Row],[wet_bulb_thermo]]+$F$1)</f>
        <v>27.434604879928575</v>
      </c>
      <c r="J136" s="9">
        <f>Таблица1[[#This Row],[Tcold]]+$I$1</f>
        <v>37.434604879928571</v>
      </c>
      <c r="K136" s="12" cm="1">
        <f t="array" ref="K136">evaporation(Таблица1[[#This Row],[Thot]],Таблица1[[#This Row],[Tcold]],Таблица1[[#This Row],[temp]],Таблица1[[#This Row],[humidity_ratio]],Таблица1[[#This Row],[pressure_kpa]])/$I$1</f>
        <v>1.5650161536768102E-3</v>
      </c>
      <c r="L136">
        <f>MONTH(Таблица1[[#This Row],[date]])</f>
        <v>4</v>
      </c>
      <c r="M136" t="str">
        <f>IF(AND(Таблица1[[#This Row],[month]]&gt;3, Таблица1[[#This Row],[month]]&lt;11),"SUMMER","WINTER")</f>
        <v>SUMMER</v>
      </c>
    </row>
    <row r="137" spans="1:13" x14ac:dyDescent="0.25">
      <c r="A137" s="2">
        <v>44317</v>
      </c>
      <c r="B137" s="5">
        <v>32.225000000000001</v>
      </c>
      <c r="C137" s="5">
        <v>751.61249999999995</v>
      </c>
      <c r="D137" s="5">
        <v>32.5</v>
      </c>
      <c r="E137" s="5">
        <f>Таблица1[[#This Row],[pressure]]/760*101325</f>
        <v>100206.75863486843</v>
      </c>
      <c r="F137" s="7">
        <f>Таблица1[[#This Row],[humidity]]/100</f>
        <v>0.32500000000000001</v>
      </c>
      <c r="G137" s="5" cm="1">
        <f t="array" ref="G137">wet_bulb_temp(Таблица1[[#This Row],[temp]],Таблица1[[#This Row],[humidity_ratio]],Таблица1[[#This Row],[pressure_kpa]])</f>
        <v>20.057419413318254</v>
      </c>
      <c r="H137" s="5" cm="1">
        <f t="array" ref="H137">wet_bulb_temp_simple(Таблица1[[#This Row],[temp]],Таблица1[[#This Row],[humidity]])</f>
        <v>20.632408509323028</v>
      </c>
      <c r="I137" s="5">
        <f>IF(Таблица1[[#This Row],[wet_bulb_thermo]]+$F$1&lt;20,20,Таблица1[[#This Row],[wet_bulb_thermo]]+$F$1)</f>
        <v>30.057419413318254</v>
      </c>
      <c r="J137" s="9">
        <f>Таблица1[[#This Row],[Tcold]]+$I$1</f>
        <v>40.057419413318257</v>
      </c>
      <c r="K137" s="12" cm="1">
        <f t="array" ref="K137">evaporation(Таблица1[[#This Row],[Thot]],Таблица1[[#This Row],[Tcold]],Таблица1[[#This Row],[temp]],Таблица1[[#This Row],[humidity_ratio]],Таблица1[[#This Row],[pressure_kpa]])/$I$1</f>
        <v>1.5607111313742192E-3</v>
      </c>
      <c r="L137">
        <f>MONTH(Таблица1[[#This Row],[date]])</f>
        <v>5</v>
      </c>
      <c r="M137" t="str">
        <f>IF(AND(Таблица1[[#This Row],[month]]&gt;3, Таблица1[[#This Row],[month]]&lt;11),"SUMMER","WINTER")</f>
        <v>SUMMER</v>
      </c>
    </row>
    <row r="138" spans="1:13" x14ac:dyDescent="0.25">
      <c r="A138" s="2">
        <v>44318</v>
      </c>
      <c r="B138" s="5">
        <v>31.287500000000001</v>
      </c>
      <c r="C138" s="5">
        <v>751.875</v>
      </c>
      <c r="D138" s="5">
        <v>23</v>
      </c>
      <c r="E138" s="5">
        <f>Таблица1[[#This Row],[pressure]]/760*101325</f>
        <v>100241.75575657895</v>
      </c>
      <c r="F138" s="7">
        <f>Таблица1[[#This Row],[humidity]]/100</f>
        <v>0.23</v>
      </c>
      <c r="G138" s="5" cm="1">
        <f t="array" ref="G138">wet_bulb_temp(Таблица1[[#This Row],[temp]],Таблица1[[#This Row],[humidity_ratio]],Таблица1[[#This Row],[pressure_kpa]])</f>
        <v>17.165792080234063</v>
      </c>
      <c r="H138" s="5" cm="1">
        <f t="array" ref="H138">wet_bulb_temp_simple(Таблица1[[#This Row],[temp]],Таблица1[[#This Row],[humidity]])</f>
        <v>17.603385150671684</v>
      </c>
      <c r="I138" s="5">
        <f>IF(Таблица1[[#This Row],[wet_bulb_thermo]]+$F$1&lt;20,20,Таблица1[[#This Row],[wet_bulb_thermo]]+$F$1)</f>
        <v>27.165792080234063</v>
      </c>
      <c r="J138" s="9">
        <f>Таблица1[[#This Row],[Tcold]]+$I$1</f>
        <v>37.165792080234063</v>
      </c>
      <c r="K138" s="12" cm="1">
        <f t="array" ref="K138">evaporation(Таблица1[[#This Row],[Thot]],Таблица1[[#This Row],[Tcold]],Таблица1[[#This Row],[temp]],Таблица1[[#This Row],[humidity_ratio]],Таблица1[[#This Row],[pressure_kpa]])/$I$1</f>
        <v>1.5779457432558233E-3</v>
      </c>
      <c r="L138">
        <f>MONTH(Таблица1[[#This Row],[date]])</f>
        <v>5</v>
      </c>
      <c r="M138" t="str">
        <f>IF(AND(Таблица1[[#This Row],[month]]&gt;3, Таблица1[[#This Row],[month]]&lt;11),"SUMMER","WINTER")</f>
        <v>SUMMER</v>
      </c>
    </row>
    <row r="139" spans="1:13" x14ac:dyDescent="0.25">
      <c r="A139" s="2">
        <v>44319</v>
      </c>
      <c r="B139" s="5">
        <v>30.737500000000001</v>
      </c>
      <c r="C139" s="5">
        <v>751.76250000000005</v>
      </c>
      <c r="D139" s="5">
        <v>26.125</v>
      </c>
      <c r="E139" s="5">
        <f>Таблица1[[#This Row],[pressure]]/760*101325</f>
        <v>100226.75699013159</v>
      </c>
      <c r="F139" s="7">
        <f>Таблица1[[#This Row],[humidity]]/100</f>
        <v>0.26124999999999998</v>
      </c>
      <c r="G139" s="5" cm="1">
        <f t="array" ref="G139">wet_bulb_temp(Таблица1[[#This Row],[temp]],Таблица1[[#This Row],[humidity_ratio]],Таблица1[[#This Row],[pressure_kpa]])</f>
        <v>17.540229404118747</v>
      </c>
      <c r="H139" s="5" cm="1">
        <f t="array" ref="H139">wet_bulb_temp_simple(Таблица1[[#This Row],[temp]],Таблица1[[#This Row],[humidity]])</f>
        <v>18.00763268178093</v>
      </c>
      <c r="I139" s="5">
        <f>IF(Таблица1[[#This Row],[wet_bulb_thermo]]+$F$1&lt;20,20,Таблица1[[#This Row],[wet_bulb_thermo]]+$F$1)</f>
        <v>27.540229404118747</v>
      </c>
      <c r="J139" s="9">
        <f>Таблица1[[#This Row],[Tcold]]+$I$1</f>
        <v>37.540229404118747</v>
      </c>
      <c r="K139" s="12" cm="1">
        <f t="array" ref="K139">evaporation(Таблица1[[#This Row],[Thot]],Таблица1[[#This Row],[Tcold]],Таблица1[[#This Row],[temp]],Таблица1[[#This Row],[humidity_ratio]],Таблица1[[#This Row],[pressure_kpa]])/$I$1</f>
        <v>1.5634391387453282E-3</v>
      </c>
      <c r="L139">
        <f>MONTH(Таблица1[[#This Row],[date]])</f>
        <v>5</v>
      </c>
      <c r="M139" t="str">
        <f>IF(AND(Таблица1[[#This Row],[month]]&gt;3, Таблица1[[#This Row],[month]]&lt;11),"SUMMER","WINTER")</f>
        <v>SUMMER</v>
      </c>
    </row>
    <row r="140" spans="1:13" x14ac:dyDescent="0.25">
      <c r="A140" s="2">
        <v>44320</v>
      </c>
      <c r="B140" s="5">
        <v>29.975000000000001</v>
      </c>
      <c r="C140" s="5">
        <v>752.33749999999998</v>
      </c>
      <c r="D140" s="5">
        <v>27.375</v>
      </c>
      <c r="E140" s="5">
        <f>Таблица1[[#This Row],[pressure]]/760*101325</f>
        <v>100303.41735197368</v>
      </c>
      <c r="F140" s="7">
        <f>Таблица1[[#This Row],[humidity]]/100</f>
        <v>0.27374999999999999</v>
      </c>
      <c r="G140" s="5" cm="1">
        <f t="array" ref="G140">wet_bulb_temp(Таблица1[[#This Row],[temp]],Таблица1[[#This Row],[humidity_ratio]],Таблица1[[#This Row],[pressure_kpa]])</f>
        <v>17.300115590396654</v>
      </c>
      <c r="H140" s="5" cm="1">
        <f t="array" ref="H140">wet_bulb_temp_simple(Таблица1[[#This Row],[temp]],Таблица1[[#This Row],[humidity]])</f>
        <v>17.748516432465436</v>
      </c>
      <c r="I140" s="5">
        <f>IF(Таблица1[[#This Row],[wet_bulb_thermo]]+$F$1&lt;20,20,Таблица1[[#This Row],[wet_bulb_thermo]]+$F$1)</f>
        <v>27.300115590396654</v>
      </c>
      <c r="J140" s="9">
        <f>Таблица1[[#This Row],[Tcold]]+$I$1</f>
        <v>37.300115590396658</v>
      </c>
      <c r="K140" s="12" cm="1">
        <f t="array" ref="K140">evaporation(Таблица1[[#This Row],[Thot]],Таблица1[[#This Row],[Tcold]],Таблица1[[#This Row],[temp]],Таблица1[[#This Row],[humidity_ratio]],Таблица1[[#This Row],[pressure_kpa]])/$I$1</f>
        <v>1.5526262332131893E-3</v>
      </c>
      <c r="L140">
        <f>MONTH(Таблица1[[#This Row],[date]])</f>
        <v>5</v>
      </c>
      <c r="M140" t="str">
        <f>IF(AND(Таблица1[[#This Row],[month]]&gt;3, Таблица1[[#This Row],[month]]&lt;11),"SUMMER","WINTER")</f>
        <v>SUMMER</v>
      </c>
    </row>
    <row r="141" spans="1:13" x14ac:dyDescent="0.25">
      <c r="A141" s="2">
        <v>44321</v>
      </c>
      <c r="B141" s="5">
        <v>31.337499999999999</v>
      </c>
      <c r="C141" s="5">
        <v>753.13750000000005</v>
      </c>
      <c r="D141" s="5">
        <v>28</v>
      </c>
      <c r="E141" s="5">
        <f>Таблица1[[#This Row],[pressure]]/760*101325</f>
        <v>100410.07524671053</v>
      </c>
      <c r="F141" s="7">
        <f>Таблица1[[#This Row],[humidity]]/100</f>
        <v>0.28000000000000003</v>
      </c>
      <c r="G141" s="5" cm="1">
        <f t="array" ref="G141">wet_bulb_temp(Таблица1[[#This Row],[temp]],Таблица1[[#This Row],[humidity_ratio]],Таблица1[[#This Row],[pressure_kpa]])</f>
        <v>18.374106419723365</v>
      </c>
      <c r="H141" s="5" cm="1">
        <f t="array" ref="H141">wet_bulb_temp_simple(Таблица1[[#This Row],[temp]],Таблица1[[#This Row],[humidity]])</f>
        <v>18.904853084729375</v>
      </c>
      <c r="I141" s="5">
        <f>IF(Таблица1[[#This Row],[wet_bulb_thermo]]+$F$1&lt;20,20,Таблица1[[#This Row],[wet_bulb_thermo]]+$F$1)</f>
        <v>28.374106419723365</v>
      </c>
      <c r="J141" s="9">
        <f>Таблица1[[#This Row],[Tcold]]+$I$1</f>
        <v>38.374106419723361</v>
      </c>
      <c r="K141" s="12" cm="1">
        <f t="array" ref="K141">evaporation(Таблица1[[#This Row],[Thot]],Таблица1[[#This Row],[Tcold]],Таблица1[[#This Row],[temp]],Таблица1[[#This Row],[humidity_ratio]],Таблица1[[#This Row],[pressure_kpa]])/$I$1</f>
        <v>1.5637915373826858E-3</v>
      </c>
      <c r="L141">
        <f>MONTH(Таблица1[[#This Row],[date]])</f>
        <v>5</v>
      </c>
      <c r="M141" t="str">
        <f>IF(AND(Таблица1[[#This Row],[month]]&gt;3, Таблица1[[#This Row],[month]]&lt;11),"SUMMER","WINTER")</f>
        <v>SUMMER</v>
      </c>
    </row>
    <row r="142" spans="1:13" x14ac:dyDescent="0.25">
      <c r="A142" s="2">
        <v>44322</v>
      </c>
      <c r="B142" s="5">
        <v>32.487499999999997</v>
      </c>
      <c r="C142" s="5">
        <v>753.02499999999998</v>
      </c>
      <c r="D142" s="5">
        <v>27.375</v>
      </c>
      <c r="E142" s="5">
        <f>Таблица1[[#This Row],[pressure]]/760*101325</f>
        <v>100395.07648026316</v>
      </c>
      <c r="F142" s="7">
        <f>Таблица1[[#This Row],[humidity]]/100</f>
        <v>0.27374999999999999</v>
      </c>
      <c r="G142" s="5" cm="1">
        <f t="array" ref="G142">wet_bulb_temp(Таблица1[[#This Row],[temp]],Таблица1[[#This Row],[humidity_ratio]],Таблица1[[#This Row],[pressure_kpa]])</f>
        <v>19.018979813458788</v>
      </c>
      <c r="H142" s="5" cm="1">
        <f t="array" ref="H142">wet_bulb_temp_simple(Таблица1[[#This Row],[temp]],Таблица1[[#This Row],[humidity]])</f>
        <v>19.601383486437811</v>
      </c>
      <c r="I142" s="5">
        <f>IF(Таблица1[[#This Row],[wet_bulb_thermo]]+$F$1&lt;20,20,Таблица1[[#This Row],[wet_bulb_thermo]]+$F$1)</f>
        <v>29.018979813458788</v>
      </c>
      <c r="J142" s="9">
        <f>Таблица1[[#This Row],[Tcold]]+$I$1</f>
        <v>39.018979813458785</v>
      </c>
      <c r="K142" s="12" cm="1">
        <f t="array" ref="K142">evaporation(Таблица1[[#This Row],[Thot]],Таблица1[[#This Row],[Tcold]],Таблица1[[#This Row],[temp]],Таблица1[[#This Row],[humidity_ratio]],Таблица1[[#This Row],[pressure_kpa]])/$I$1</f>
        <v>1.5758069594133978E-3</v>
      </c>
      <c r="L142">
        <f>MONTH(Таблица1[[#This Row],[date]])</f>
        <v>5</v>
      </c>
      <c r="M142" t="str">
        <f>IF(AND(Таблица1[[#This Row],[month]]&gt;3, Таблица1[[#This Row],[month]]&lt;11),"SUMMER","WINTER")</f>
        <v>SUMMER</v>
      </c>
    </row>
    <row r="143" spans="1:13" x14ac:dyDescent="0.25">
      <c r="A143" s="2">
        <v>44323</v>
      </c>
      <c r="B143" s="5">
        <v>32.387500000000003</v>
      </c>
      <c r="C143" s="5">
        <v>752.48749999999995</v>
      </c>
      <c r="D143" s="5">
        <v>30</v>
      </c>
      <c r="E143" s="5">
        <f>Таблица1[[#This Row],[pressure]]/760*101325</f>
        <v>100323.41570723683</v>
      </c>
      <c r="F143" s="7">
        <f>Таблица1[[#This Row],[humidity]]/100</f>
        <v>0.3</v>
      </c>
      <c r="G143" s="5" cm="1">
        <f t="array" ref="G143">wet_bulb_temp(Таблица1[[#This Row],[temp]],Таблица1[[#This Row],[humidity_ratio]],Таблица1[[#This Row],[pressure_kpa]])</f>
        <v>19.581815526550589</v>
      </c>
      <c r="H143" s="5" cm="1">
        <f t="array" ref="H143">wet_bulb_temp_simple(Таблица1[[#This Row],[temp]],Таблица1[[#This Row],[humidity]])</f>
        <v>20.171317140481186</v>
      </c>
      <c r="I143" s="5">
        <f>IF(Таблица1[[#This Row],[wet_bulb_thermo]]+$F$1&lt;20,20,Таблица1[[#This Row],[wet_bulb_thermo]]+$F$1)</f>
        <v>29.581815526550589</v>
      </c>
      <c r="J143" s="9">
        <f>Таблица1[[#This Row],[Tcold]]+$I$1</f>
        <v>39.581815526550585</v>
      </c>
      <c r="K143" s="12" cm="1">
        <f t="array" ref="K143">evaporation(Таблица1[[#This Row],[Thot]],Таблица1[[#This Row],[Tcold]],Таблица1[[#This Row],[temp]],Таблица1[[#This Row],[humidity_ratio]],Таблица1[[#This Row],[pressure_kpa]])/$I$1</f>
        <v>1.5680366124177403E-3</v>
      </c>
      <c r="L143">
        <f>MONTH(Таблица1[[#This Row],[date]])</f>
        <v>5</v>
      </c>
      <c r="M143" t="str">
        <f>IF(AND(Таблица1[[#This Row],[month]]&gt;3, Таблица1[[#This Row],[month]]&lt;11),"SUMMER","WINTER")</f>
        <v>SUMMER</v>
      </c>
    </row>
    <row r="144" spans="1:13" x14ac:dyDescent="0.25">
      <c r="A144" s="2">
        <v>44324</v>
      </c>
      <c r="B144" s="5">
        <v>31.5625</v>
      </c>
      <c r="C144" s="5">
        <v>752.875</v>
      </c>
      <c r="D144" s="5">
        <v>36.5</v>
      </c>
      <c r="E144" s="5">
        <f>Таблица1[[#This Row],[pressure]]/760*101325</f>
        <v>100375.078125</v>
      </c>
      <c r="F144" s="7">
        <f>Таблица1[[#This Row],[humidity]]/100</f>
        <v>0.36499999999999999</v>
      </c>
      <c r="G144" s="5" cm="1">
        <f t="array" ref="G144">wet_bulb_temp(Таблица1[[#This Row],[temp]],Таблица1[[#This Row],[humidity_ratio]],Таблица1[[#This Row],[pressure_kpa]])</f>
        <v>20.4547317291503</v>
      </c>
      <c r="H144" s="5" cm="1">
        <f t="array" ref="H144">wet_bulb_temp_simple(Таблица1[[#This Row],[temp]],Таблица1[[#This Row],[humidity]])</f>
        <v>20.994313779649445</v>
      </c>
      <c r="I144" s="5">
        <f>IF(Таблица1[[#This Row],[wet_bulb_thermo]]+$F$1&lt;20,20,Таблица1[[#This Row],[wet_bulb_thermo]]+$F$1)</f>
        <v>30.4547317291503</v>
      </c>
      <c r="J144" s="9">
        <f>Таблица1[[#This Row],[Tcold]]+$I$1</f>
        <v>40.454731729150296</v>
      </c>
      <c r="K144" s="12" cm="1">
        <f t="array" ref="K144">evaporation(Таблица1[[#This Row],[Thot]],Таблица1[[#This Row],[Tcold]],Таблица1[[#This Row],[temp]],Таблица1[[#This Row],[humidity_ratio]],Таблица1[[#This Row],[pressure_kpa]])/$I$1</f>
        <v>1.5462685540130459E-3</v>
      </c>
      <c r="L144">
        <f>MONTH(Таблица1[[#This Row],[date]])</f>
        <v>5</v>
      </c>
      <c r="M144" t="str">
        <f>IF(AND(Таблица1[[#This Row],[month]]&gt;3, Таблица1[[#This Row],[month]]&lt;11),"SUMMER","WINTER")</f>
        <v>SUMMER</v>
      </c>
    </row>
    <row r="145" spans="1:13" x14ac:dyDescent="0.25">
      <c r="A145" s="2">
        <v>44325</v>
      </c>
      <c r="B145" s="5">
        <v>32.625</v>
      </c>
      <c r="C145" s="5">
        <v>752.5625</v>
      </c>
      <c r="D145" s="5">
        <v>27.75</v>
      </c>
      <c r="E145" s="5">
        <f>Таблица1[[#This Row],[pressure]]/760*101325</f>
        <v>100333.41488486841</v>
      </c>
      <c r="F145" s="7">
        <f>Таблица1[[#This Row],[humidity]]/100</f>
        <v>0.27750000000000002</v>
      </c>
      <c r="G145" s="5" cm="1">
        <f t="array" ref="G145">wet_bulb_temp(Таблица1[[#This Row],[temp]],Таблица1[[#This Row],[humidity_ratio]],Таблица1[[#This Row],[pressure_kpa]])</f>
        <v>19.208523474366611</v>
      </c>
      <c r="H145" s="5" cm="1">
        <f t="array" ref="H145">wet_bulb_temp_simple(Таблица1[[#This Row],[temp]],Таблица1[[#This Row],[humidity]])</f>
        <v>19.797262498783169</v>
      </c>
      <c r="I145" s="5">
        <f>IF(Таблица1[[#This Row],[wet_bulb_thermo]]+$F$1&lt;20,20,Таблица1[[#This Row],[wet_bulb_thermo]]+$F$1)</f>
        <v>29.208523474366611</v>
      </c>
      <c r="J145" s="9">
        <f>Таблица1[[#This Row],[Tcold]]+$I$1</f>
        <v>39.208523474366615</v>
      </c>
      <c r="K145" s="12" cm="1">
        <f t="array" ref="K145">evaporation(Таблица1[[#This Row],[Thot]],Таблица1[[#This Row],[Tcold]],Таблица1[[#This Row],[temp]],Таблица1[[#This Row],[humidity_ratio]],Таблица1[[#This Row],[pressure_kpa]])/$I$1</f>
        <v>1.5760042096759357E-3</v>
      </c>
      <c r="L145">
        <f>MONTH(Таблица1[[#This Row],[date]])</f>
        <v>5</v>
      </c>
      <c r="M145" t="str">
        <f>IF(AND(Таблица1[[#This Row],[month]]&gt;3, Таблица1[[#This Row],[month]]&lt;11),"SUMMER","WINTER")</f>
        <v>SUMMER</v>
      </c>
    </row>
    <row r="146" spans="1:13" x14ac:dyDescent="0.25">
      <c r="A146" s="2">
        <v>44326</v>
      </c>
      <c r="B146" s="5">
        <v>34.0625</v>
      </c>
      <c r="C146" s="5">
        <v>751.65</v>
      </c>
      <c r="D146" s="5">
        <v>23.625</v>
      </c>
      <c r="E146" s="5">
        <f>Таблица1[[#This Row],[pressure]]/760*101325</f>
        <v>100211.7582236842</v>
      </c>
      <c r="F146" s="7">
        <f>Таблица1[[#This Row],[humidity]]/100</f>
        <v>0.23624999999999999</v>
      </c>
      <c r="G146" s="5" cm="1">
        <f t="array" ref="G146">wet_bulb_temp(Таблица1[[#This Row],[temp]],Таблица1[[#This Row],[humidity_ratio]],Таблица1[[#This Row],[pressure_kpa]])</f>
        <v>19.143814804612962</v>
      </c>
      <c r="H146" s="5" cm="1">
        <f t="array" ref="H146">wet_bulb_temp_simple(Таблица1[[#This Row],[temp]],Таблица1[[#This Row],[humidity]])</f>
        <v>19.738756477303426</v>
      </c>
      <c r="I146" s="5">
        <f>IF(Таблица1[[#This Row],[wet_bulb_thermo]]+$F$1&lt;20,20,Таблица1[[#This Row],[wet_bulb_thermo]]+$F$1)</f>
        <v>29.143814804612962</v>
      </c>
      <c r="J146" s="9">
        <f>Таблица1[[#This Row],[Tcold]]+$I$1</f>
        <v>39.143814804612958</v>
      </c>
      <c r="K146" s="12" cm="1">
        <f t="array" ref="K146">evaporation(Таблица1[[#This Row],[Thot]],Таблица1[[#This Row],[Tcold]],Таблица1[[#This Row],[temp]],Таблица1[[#This Row],[humidity_ratio]],Таблица1[[#This Row],[pressure_kpa]])/$I$1</f>
        <v>1.6006178696160109E-3</v>
      </c>
      <c r="L146">
        <f>MONTH(Таблица1[[#This Row],[date]])</f>
        <v>5</v>
      </c>
      <c r="M146" t="str">
        <f>IF(AND(Таблица1[[#This Row],[month]]&gt;3, Таблица1[[#This Row],[month]]&lt;11),"SUMMER","WINTER")</f>
        <v>SUMMER</v>
      </c>
    </row>
    <row r="147" spans="1:13" x14ac:dyDescent="0.25">
      <c r="A147" s="2">
        <v>44327</v>
      </c>
      <c r="B147" s="5">
        <v>34.875</v>
      </c>
      <c r="C147" s="5">
        <v>751.5625</v>
      </c>
      <c r="D147" s="5">
        <v>23.375</v>
      </c>
      <c r="E147" s="5">
        <f>Таблица1[[#This Row],[pressure]]/760*101325</f>
        <v>100200.09251644737</v>
      </c>
      <c r="F147" s="7">
        <f>Таблица1[[#This Row],[humidity]]/100</f>
        <v>0.23375000000000001</v>
      </c>
      <c r="G147" s="5" cm="1">
        <f t="array" ref="G147">wet_bulb_temp(Таблица1[[#This Row],[temp]],Таблица1[[#This Row],[humidity_ratio]],Таблица1[[#This Row],[pressure_kpa]])</f>
        <v>19.611693387814643</v>
      </c>
      <c r="H147" s="5" cm="1">
        <f t="array" ref="H147">wet_bulb_temp_simple(Таблица1[[#This Row],[temp]],Таблица1[[#This Row],[humidity]])</f>
        <v>20.242779819951515</v>
      </c>
      <c r="I147" s="5">
        <f>IF(Таблица1[[#This Row],[wet_bulb_thermo]]+$F$1&lt;20,20,Таблица1[[#This Row],[wet_bulb_thermo]]+$F$1)</f>
        <v>29.611693387814643</v>
      </c>
      <c r="J147" s="9">
        <f>Таблица1[[#This Row],[Tcold]]+$I$1</f>
        <v>39.61169338781464</v>
      </c>
      <c r="K147" s="12" cm="1">
        <f t="array" ref="K147">evaporation(Таблица1[[#This Row],[Thot]],Таблица1[[#This Row],[Tcold]],Таблица1[[#This Row],[temp]],Таблица1[[#This Row],[humidity_ratio]],Таблица1[[#This Row],[pressure_kpa]])/$I$1</f>
        <v>1.6080861238891644E-3</v>
      </c>
      <c r="L147">
        <f>MONTH(Таблица1[[#This Row],[date]])</f>
        <v>5</v>
      </c>
      <c r="M147" t="str">
        <f>IF(AND(Таблица1[[#This Row],[month]]&gt;3, Таблица1[[#This Row],[month]]&lt;11),"SUMMER","WINTER")</f>
        <v>SUMMER</v>
      </c>
    </row>
    <row r="148" spans="1:13" x14ac:dyDescent="0.25">
      <c r="A148" s="2">
        <v>44328</v>
      </c>
      <c r="B148" s="5">
        <v>36.037500000000001</v>
      </c>
      <c r="C148" s="5">
        <v>751.25</v>
      </c>
      <c r="D148" s="5">
        <v>20.125</v>
      </c>
      <c r="E148" s="5">
        <f>Таблица1[[#This Row],[pressure]]/760*101325</f>
        <v>100158.42927631579</v>
      </c>
      <c r="F148" s="7">
        <f>Таблица1[[#This Row],[humidity]]/100</f>
        <v>0.20125000000000001</v>
      </c>
      <c r="G148" s="5" cm="1">
        <f t="array" ref="G148">wet_bulb_temp(Таблица1[[#This Row],[temp]],Таблица1[[#This Row],[humidity_ratio]],Таблица1[[#This Row],[pressure_kpa]])</f>
        <v>19.451496366345236</v>
      </c>
      <c r="H148" s="5" cm="1">
        <f t="array" ref="H148">wet_bulb_temp_simple(Таблица1[[#This Row],[temp]],Таблица1[[#This Row],[humidity]])</f>
        <v>20.048953125627772</v>
      </c>
      <c r="I148" s="5">
        <f>IF(Таблица1[[#This Row],[wet_bulb_thermo]]+$F$1&lt;20,20,Таблица1[[#This Row],[wet_bulb_thermo]]+$F$1)</f>
        <v>29.451496366345236</v>
      </c>
      <c r="J148" s="9">
        <f>Таблица1[[#This Row],[Tcold]]+$I$1</f>
        <v>39.451496366345239</v>
      </c>
      <c r="K148" s="12" cm="1">
        <f t="array" ref="K148">evaporation(Таблица1[[#This Row],[Thot]],Таблица1[[#This Row],[Tcold]],Таблица1[[#This Row],[temp]],Таблица1[[#This Row],[humidity_ratio]],Таблица1[[#This Row],[pressure_kpa]])/$I$1</f>
        <v>1.6290516036439079E-3</v>
      </c>
      <c r="L148">
        <f>MONTH(Таблица1[[#This Row],[date]])</f>
        <v>5</v>
      </c>
      <c r="M148" t="str">
        <f>IF(AND(Таблица1[[#This Row],[month]]&gt;3, Таблица1[[#This Row],[month]]&lt;11),"SUMMER","WINTER")</f>
        <v>SUMMER</v>
      </c>
    </row>
    <row r="149" spans="1:13" x14ac:dyDescent="0.25">
      <c r="A149" s="2">
        <v>44329</v>
      </c>
      <c r="B149" s="5">
        <v>35.5625</v>
      </c>
      <c r="C149" s="5">
        <v>750.5</v>
      </c>
      <c r="D149" s="5">
        <v>19.75</v>
      </c>
      <c r="E149" s="5">
        <f>Таблица1[[#This Row],[pressure]]/760*101325</f>
        <v>100058.4375</v>
      </c>
      <c r="F149" s="7">
        <f>Таблица1[[#This Row],[humidity]]/100</f>
        <v>0.19750000000000001</v>
      </c>
      <c r="G149" s="5" cm="1">
        <f t="array" ref="G149">wet_bulb_temp(Таблица1[[#This Row],[temp]],Таблица1[[#This Row],[humidity_ratio]],Таблица1[[#This Row],[pressure_kpa]])</f>
        <v>19.05168024301031</v>
      </c>
      <c r="H149" s="5" cm="1">
        <f t="array" ref="H149">wet_bulb_temp_simple(Таблица1[[#This Row],[temp]],Таблица1[[#This Row],[humidity]])</f>
        <v>19.604168495258378</v>
      </c>
      <c r="I149" s="5">
        <f>IF(Таблица1[[#This Row],[wet_bulb_thermo]]+$F$1&lt;20,20,Таблица1[[#This Row],[wet_bulb_thermo]]+$F$1)</f>
        <v>29.05168024301031</v>
      </c>
      <c r="J149" s="9">
        <f>Таблица1[[#This Row],[Tcold]]+$I$1</f>
        <v>39.05168024301031</v>
      </c>
      <c r="K149" s="12" cm="1">
        <f t="array" ref="K149">evaporation(Таблица1[[#This Row],[Thot]],Таблица1[[#This Row],[Tcold]],Таблица1[[#This Row],[temp]],Таблица1[[#This Row],[humidity_ratio]],Таблица1[[#This Row],[pressure_kpa]])/$I$1</f>
        <v>1.6267446442004435E-3</v>
      </c>
      <c r="L149">
        <f>MONTH(Таблица1[[#This Row],[date]])</f>
        <v>5</v>
      </c>
      <c r="M149" t="str">
        <f>IF(AND(Таблица1[[#This Row],[month]]&gt;3, Таблица1[[#This Row],[month]]&lt;11),"SUMMER","WINTER")</f>
        <v>SUMMER</v>
      </c>
    </row>
    <row r="150" spans="1:13" x14ac:dyDescent="0.25">
      <c r="A150" s="2">
        <v>44330</v>
      </c>
      <c r="B150" s="5">
        <v>36.612499999999997</v>
      </c>
      <c r="C150" s="5">
        <v>749.77499999999998</v>
      </c>
      <c r="D150" s="5">
        <v>16.125</v>
      </c>
      <c r="E150" s="5">
        <f>Таблица1[[#This Row],[pressure]]/760*101325</f>
        <v>99961.778782894733</v>
      </c>
      <c r="F150" s="7">
        <f>Таблица1[[#This Row],[humidity]]/100</f>
        <v>0.16125</v>
      </c>
      <c r="G150" s="5" cm="1">
        <f t="array" ref="G150">wet_bulb_temp(Таблица1[[#This Row],[temp]],Таблица1[[#This Row],[humidity_ratio]],Таблица1[[#This Row],[pressure_kpa]])</f>
        <v>18.618263671473201</v>
      </c>
      <c r="H150" s="5" cm="1">
        <f t="array" ref="H150">wet_bulb_temp_simple(Таблица1[[#This Row],[temp]],Таблица1[[#This Row],[humidity]])</f>
        <v>19.045332664188034</v>
      </c>
      <c r="I150" s="5">
        <f>IF(Таблица1[[#This Row],[wet_bulb_thermo]]+$F$1&lt;20,20,Таблица1[[#This Row],[wet_bulb_thermo]]+$F$1)</f>
        <v>28.618263671473201</v>
      </c>
      <c r="J150" s="9">
        <f>Таблица1[[#This Row],[Tcold]]+$I$1</f>
        <v>38.618263671473201</v>
      </c>
      <c r="K150" s="12" cm="1">
        <f t="array" ref="K150">evaporation(Таблица1[[#This Row],[Thot]],Таблица1[[#This Row],[Tcold]],Таблица1[[#This Row],[temp]],Таблица1[[#This Row],[humidity_ratio]],Таблица1[[#This Row],[pressure_kpa]])/$I$1</f>
        <v>1.6505534233540024E-3</v>
      </c>
      <c r="L150">
        <f>MONTH(Таблица1[[#This Row],[date]])</f>
        <v>5</v>
      </c>
      <c r="M150" t="str">
        <f>IF(AND(Таблица1[[#This Row],[month]]&gt;3, Таблица1[[#This Row],[month]]&lt;11),"SUMMER","WINTER")</f>
        <v>SUMMER</v>
      </c>
    </row>
    <row r="151" spans="1:13" x14ac:dyDescent="0.25">
      <c r="A151" s="2">
        <v>44331</v>
      </c>
      <c r="B151" s="5">
        <v>35.174999999999997</v>
      </c>
      <c r="C151" s="5">
        <v>748.36249999999995</v>
      </c>
      <c r="D151" s="5">
        <v>21</v>
      </c>
      <c r="E151" s="5">
        <f>Таблица1[[#This Row],[pressure]]/760*101325</f>
        <v>99773.4609375</v>
      </c>
      <c r="F151" s="7">
        <f>Таблица1[[#This Row],[humidity]]/100</f>
        <v>0.21</v>
      </c>
      <c r="G151" s="5" cm="1">
        <f t="array" ref="G151">wet_bulb_temp(Таблица1[[#This Row],[temp]],Таблица1[[#This Row],[humidity_ratio]],Таблица1[[#This Row],[pressure_kpa]])</f>
        <v>19.177928641470995</v>
      </c>
      <c r="H151" s="5" cm="1">
        <f t="array" ref="H151">wet_bulb_temp_simple(Таблица1[[#This Row],[temp]],Таблица1[[#This Row],[humidity]])</f>
        <v>19.736547748204927</v>
      </c>
      <c r="I151" s="5">
        <f>IF(Таблица1[[#This Row],[wet_bulb_thermo]]+$F$1&lt;20,20,Таблица1[[#This Row],[wet_bulb_thermo]]+$F$1)</f>
        <v>29.177928641470995</v>
      </c>
      <c r="J151" s="9">
        <f>Таблица1[[#This Row],[Tcold]]+$I$1</f>
        <v>39.177928641470999</v>
      </c>
      <c r="K151" s="12" cm="1">
        <f t="array" ref="K151">evaporation(Таблица1[[#This Row],[Thot]],Таблица1[[#This Row],[Tcold]],Таблица1[[#This Row],[temp]],Таблица1[[#This Row],[humidity_ratio]],Таблица1[[#This Row],[pressure_kpa]])/$I$1</f>
        <v>1.6188862581761672E-3</v>
      </c>
      <c r="L151">
        <f>MONTH(Таблица1[[#This Row],[date]])</f>
        <v>5</v>
      </c>
      <c r="M151" t="str">
        <f>IF(AND(Таблица1[[#This Row],[month]]&gt;3, Таблица1[[#This Row],[month]]&lt;11),"SUMMER","WINTER")</f>
        <v>SUMMER</v>
      </c>
    </row>
    <row r="152" spans="1:13" x14ac:dyDescent="0.25">
      <c r="A152" s="2">
        <v>44332</v>
      </c>
      <c r="B152" s="5">
        <v>35.200000000000003</v>
      </c>
      <c r="C152" s="5">
        <v>749.17499999999995</v>
      </c>
      <c r="D152" s="5">
        <v>23.625</v>
      </c>
      <c r="E152" s="5">
        <f>Таблица1[[#This Row],[pressure]]/760*101325</f>
        <v>99881.785361842092</v>
      </c>
      <c r="F152" s="7">
        <f>Таблица1[[#This Row],[humidity]]/100</f>
        <v>0.23624999999999999</v>
      </c>
      <c r="G152" s="5" cm="1">
        <f t="array" ref="G152">wet_bulb_temp(Таблица1[[#This Row],[temp]],Таблица1[[#This Row],[humidity_ratio]],Таблица1[[#This Row],[pressure_kpa]])</f>
        <v>19.913646182190352</v>
      </c>
      <c r="H152" s="5" cm="1">
        <f t="array" ref="H152">wet_bulb_temp_simple(Таблица1[[#This Row],[temp]],Таблица1[[#This Row],[humidity]])</f>
        <v>20.546296905676552</v>
      </c>
      <c r="I152" s="5">
        <f>IF(Таблица1[[#This Row],[wet_bulb_thermo]]+$F$1&lt;20,20,Таблица1[[#This Row],[wet_bulb_thermo]]+$F$1)</f>
        <v>29.913646182190352</v>
      </c>
      <c r="J152" s="9">
        <f>Таблица1[[#This Row],[Tcold]]+$I$1</f>
        <v>39.913646182190348</v>
      </c>
      <c r="K152" s="12" cm="1">
        <f t="array" ref="K152">evaporation(Таблица1[[#This Row],[Thot]],Таблица1[[#This Row],[Tcold]],Таблица1[[#This Row],[temp]],Таблица1[[#This Row],[humidity_ratio]],Таблица1[[#This Row],[pressure_kpa]])/$I$1</f>
        <v>1.6098789725176733E-3</v>
      </c>
      <c r="L152">
        <f>MONTH(Таблица1[[#This Row],[date]])</f>
        <v>5</v>
      </c>
      <c r="M152" t="str">
        <f>IF(AND(Таблица1[[#This Row],[month]]&gt;3, Таблица1[[#This Row],[month]]&lt;11),"SUMMER","WINTER")</f>
        <v>SUMMER</v>
      </c>
    </row>
    <row r="153" spans="1:13" x14ac:dyDescent="0.25">
      <c r="A153" s="2">
        <v>44333</v>
      </c>
      <c r="B153" s="5">
        <v>35.75</v>
      </c>
      <c r="C153" s="5">
        <v>750.8125</v>
      </c>
      <c r="D153" s="5">
        <v>18.125</v>
      </c>
      <c r="E153" s="5">
        <f>Таблица1[[#This Row],[pressure]]/760*101325</f>
        <v>100100.10074013157</v>
      </c>
      <c r="F153" s="7">
        <f>Таблица1[[#This Row],[humidity]]/100</f>
        <v>0.18124999999999999</v>
      </c>
      <c r="G153" s="5" cm="1">
        <f t="array" ref="G153">wet_bulb_temp(Таблица1[[#This Row],[temp]],Таблица1[[#This Row],[humidity_ratio]],Таблица1[[#This Row],[pressure_kpa]])</f>
        <v>18.694381686693216</v>
      </c>
      <c r="H153" s="5" cm="1">
        <f t="array" ref="H153">wet_bulb_temp_simple(Таблица1[[#This Row],[temp]],Таблица1[[#This Row],[humidity]])</f>
        <v>19.189822006301423</v>
      </c>
      <c r="I153" s="5">
        <f>IF(Таблица1[[#This Row],[wet_bulb_thermo]]+$F$1&lt;20,20,Таблица1[[#This Row],[wet_bulb_thermo]]+$F$1)</f>
        <v>28.694381686693216</v>
      </c>
      <c r="J153" s="9">
        <f>Таблица1[[#This Row],[Tcold]]+$I$1</f>
        <v>38.69438168669322</v>
      </c>
      <c r="K153" s="12" cm="1">
        <f t="array" ref="K153">evaporation(Таблица1[[#This Row],[Thot]],Таблица1[[#This Row],[Tcold]],Таблица1[[#This Row],[temp]],Таблица1[[#This Row],[humidity_ratio]],Таблица1[[#This Row],[pressure_kpa]])/$I$1</f>
        <v>1.6348387359550447E-3</v>
      </c>
      <c r="L153">
        <f>MONTH(Таблица1[[#This Row],[date]])</f>
        <v>5</v>
      </c>
      <c r="M153" t="str">
        <f>IF(AND(Таблица1[[#This Row],[month]]&gt;3, Таблица1[[#This Row],[month]]&lt;11),"SUMMER","WINTER")</f>
        <v>SUMMER</v>
      </c>
    </row>
    <row r="154" spans="1:13" x14ac:dyDescent="0.25">
      <c r="A154" s="2">
        <v>44334</v>
      </c>
      <c r="B154" s="5">
        <v>36.912500000000001</v>
      </c>
      <c r="C154" s="5">
        <v>751.125</v>
      </c>
      <c r="D154" s="5">
        <v>16</v>
      </c>
      <c r="E154" s="5">
        <f>Таблица1[[#This Row],[pressure]]/760*101325</f>
        <v>100141.76398026316</v>
      </c>
      <c r="F154" s="7">
        <f>Таблица1[[#This Row],[humidity]]/100</f>
        <v>0.16</v>
      </c>
      <c r="G154" s="5" cm="1">
        <f t="array" ref="G154">wet_bulb_temp(Таблица1[[#This Row],[temp]],Таблица1[[#This Row],[humidity_ratio]],Таблица1[[#This Row],[pressure_kpa]])</f>
        <v>18.747379345272108</v>
      </c>
      <c r="H154" s="5" cm="1">
        <f t="array" ref="H154">wet_bulb_temp_simple(Таблица1[[#This Row],[temp]],Таблица1[[#This Row],[humidity]])</f>
        <v>19.192176289381301</v>
      </c>
      <c r="I154" s="5">
        <f>IF(Таблица1[[#This Row],[wet_bulb_thermo]]+$F$1&lt;20,20,Таблица1[[#This Row],[wet_bulb_thermo]]+$F$1)</f>
        <v>28.747379345272108</v>
      </c>
      <c r="J154" s="9">
        <f>Таблица1[[#This Row],[Tcold]]+$I$1</f>
        <v>38.747379345272108</v>
      </c>
      <c r="K154" s="12" cm="1">
        <f t="array" ref="K154">evaporation(Таблица1[[#This Row],[Thot]],Таблица1[[#This Row],[Tcold]],Таблица1[[#This Row],[temp]],Таблица1[[#This Row],[humidity_ratio]],Таблица1[[#This Row],[pressure_kpa]])/$I$1</f>
        <v>1.6535873477084347E-3</v>
      </c>
      <c r="L154">
        <f>MONTH(Таблица1[[#This Row],[date]])</f>
        <v>5</v>
      </c>
      <c r="M154" t="str">
        <f>IF(AND(Таблица1[[#This Row],[month]]&gt;3, Таблица1[[#This Row],[month]]&lt;11),"SUMMER","WINTER")</f>
        <v>SUMMER</v>
      </c>
    </row>
    <row r="155" spans="1:13" x14ac:dyDescent="0.25">
      <c r="A155" s="2">
        <v>44335</v>
      </c>
      <c r="B155" s="5">
        <v>37.424999999999997</v>
      </c>
      <c r="C155" s="5">
        <v>751.33749999999998</v>
      </c>
      <c r="D155" s="5">
        <v>17.875</v>
      </c>
      <c r="E155" s="5">
        <f>Таблица1[[#This Row],[pressure]]/760*101325</f>
        <v>100170.09498355263</v>
      </c>
      <c r="F155" s="7">
        <f>Таблица1[[#This Row],[humidity]]/100</f>
        <v>0.17874999999999999</v>
      </c>
      <c r="G155" s="5" cm="1">
        <f t="array" ref="G155">wet_bulb_temp(Таблица1[[#This Row],[temp]],Таблица1[[#This Row],[humidity_ratio]],Таблица1[[#This Row],[pressure_kpa]])</f>
        <v>19.633929513913209</v>
      </c>
      <c r="H155" s="5" cm="1">
        <f t="array" ref="H155">wet_bulb_temp_simple(Таблица1[[#This Row],[temp]],Таблица1[[#This Row],[humidity]])</f>
        <v>20.212164931204509</v>
      </c>
      <c r="I155" s="5">
        <f>IF(Таблица1[[#This Row],[wet_bulb_thermo]]+$F$1&lt;20,20,Таблица1[[#This Row],[wet_bulb_thermo]]+$F$1)</f>
        <v>29.633929513913209</v>
      </c>
      <c r="J155" s="9">
        <f>Таблица1[[#This Row],[Tcold]]+$I$1</f>
        <v>39.633929513913209</v>
      </c>
      <c r="K155" s="12" cm="1">
        <f t="array" ref="K155">evaporation(Таблица1[[#This Row],[Thot]],Таблица1[[#This Row],[Tcold]],Таблица1[[#This Row],[temp]],Таблица1[[#This Row],[humidity_ratio]],Таблица1[[#This Row],[pressure_kpa]])/$I$1</f>
        <v>1.649023638906411E-3</v>
      </c>
      <c r="L155">
        <f>MONTH(Таблица1[[#This Row],[date]])</f>
        <v>5</v>
      </c>
      <c r="M155" t="str">
        <f>IF(AND(Таблица1[[#This Row],[month]]&gt;3, Таблица1[[#This Row],[month]]&lt;11),"SUMMER","WINTER")</f>
        <v>SUMMER</v>
      </c>
    </row>
    <row r="156" spans="1:13" x14ac:dyDescent="0.25">
      <c r="A156" s="2">
        <v>44336</v>
      </c>
      <c r="B156" s="5">
        <v>37.975000000000001</v>
      </c>
      <c r="C156" s="5">
        <v>751.1</v>
      </c>
      <c r="D156" s="5">
        <v>11.5</v>
      </c>
      <c r="E156" s="5">
        <f>Таблица1[[#This Row],[pressure]]/760*101325</f>
        <v>100138.43092105264</v>
      </c>
      <c r="F156" s="7">
        <f>Таблица1[[#This Row],[humidity]]/100</f>
        <v>0.115</v>
      </c>
      <c r="G156" s="5" cm="1">
        <f t="array" ref="G156">wet_bulb_temp(Таблица1[[#This Row],[temp]],Таблица1[[#This Row],[humidity_ratio]],Таблица1[[#This Row],[pressure_kpa]])</f>
        <v>17.886777009494324</v>
      </c>
      <c r="H156" s="5" cm="1">
        <f t="array" ref="H156">wet_bulb_temp_simple(Таблица1[[#This Row],[temp]],Таблица1[[#This Row],[humidity]])</f>
        <v>18.021321385986553</v>
      </c>
      <c r="I156" s="5">
        <f>IF(Таблица1[[#This Row],[wet_bulb_thermo]]+$F$1&lt;20,20,Таблица1[[#This Row],[wet_bulb_thermo]]+$F$1)</f>
        <v>27.886777009494324</v>
      </c>
      <c r="J156" s="9">
        <f>Таблица1[[#This Row],[Tcold]]+$I$1</f>
        <v>37.886777009494324</v>
      </c>
      <c r="K156" s="12" cm="1">
        <f t="array" ref="K156">evaporation(Таблица1[[#This Row],[Thot]],Таблица1[[#This Row],[Tcold]],Таблица1[[#This Row],[temp]],Таблица1[[#This Row],[humidity_ratio]],Таблица1[[#This Row],[pressure_kpa]])/$I$1</f>
        <v>1.6856795025648754E-3</v>
      </c>
      <c r="L156">
        <f>MONTH(Таблица1[[#This Row],[date]])</f>
        <v>5</v>
      </c>
      <c r="M156" t="str">
        <f>IF(AND(Таблица1[[#This Row],[month]]&gt;3, Таблица1[[#This Row],[month]]&lt;11),"SUMMER","WINTER")</f>
        <v>SUMMER</v>
      </c>
    </row>
    <row r="157" spans="1:13" x14ac:dyDescent="0.25">
      <c r="A157" s="2">
        <v>44337</v>
      </c>
      <c r="B157" s="5">
        <v>38.737499999999997</v>
      </c>
      <c r="C157" s="5">
        <v>750.46249999999998</v>
      </c>
      <c r="D157" s="5">
        <v>11</v>
      </c>
      <c r="E157" s="5">
        <f>Таблица1[[#This Row],[pressure]]/760*101325</f>
        <v>100053.43791118421</v>
      </c>
      <c r="F157" s="7">
        <f>Таблица1[[#This Row],[humidity]]/100</f>
        <v>0.11</v>
      </c>
      <c r="G157" s="5" cm="1">
        <f t="array" ref="G157">wet_bulb_temp(Таблица1[[#This Row],[temp]],Таблица1[[#This Row],[humidity_ratio]],Таблица1[[#This Row],[pressure_kpa]])</f>
        <v>18.12617599325182</v>
      </c>
      <c r="H157" s="5" cm="1">
        <f t="array" ref="H157">wet_bulb_temp_simple(Таблица1[[#This Row],[temp]],Таблица1[[#This Row],[humidity]])</f>
        <v>18.247035304586831</v>
      </c>
      <c r="I157" s="5">
        <f>IF(Таблица1[[#This Row],[wet_bulb_thermo]]+$F$1&lt;20,20,Таблица1[[#This Row],[wet_bulb_thermo]]+$F$1)</f>
        <v>28.12617599325182</v>
      </c>
      <c r="J157" s="9">
        <f>Таблица1[[#This Row],[Tcold]]+$I$1</f>
        <v>38.12617599325182</v>
      </c>
      <c r="K157" s="12" cm="1">
        <f t="array" ref="K157">evaporation(Таблица1[[#This Row],[Thot]],Таблица1[[#This Row],[Tcold]],Таблица1[[#This Row],[temp]],Таблица1[[#This Row],[humidity_ratio]],Таблица1[[#This Row],[pressure_kpa]])/$I$1</f>
        <v>1.6947756791660523E-3</v>
      </c>
      <c r="L157">
        <f>MONTH(Таблица1[[#This Row],[date]])</f>
        <v>5</v>
      </c>
      <c r="M157" t="str">
        <f>IF(AND(Таблица1[[#This Row],[month]]&gt;3, Таблица1[[#This Row],[month]]&lt;11),"SUMMER","WINTER")</f>
        <v>SUMMER</v>
      </c>
    </row>
    <row r="158" spans="1:13" x14ac:dyDescent="0.25">
      <c r="A158" s="2">
        <v>44338</v>
      </c>
      <c r="B158" s="5">
        <v>38.325000000000003</v>
      </c>
      <c r="C158" s="5">
        <v>749.15</v>
      </c>
      <c r="D158" s="5">
        <v>18.25</v>
      </c>
      <c r="E158" s="5">
        <f>Таблица1[[#This Row],[pressure]]/760*101325</f>
        <v>99878.452302631573</v>
      </c>
      <c r="F158" s="7">
        <f>Таблица1[[#This Row],[humidity]]/100</f>
        <v>0.1825</v>
      </c>
      <c r="G158" s="5" cm="1">
        <f t="array" ref="G158">wet_bulb_temp(Таблица1[[#This Row],[temp]],Таблица1[[#This Row],[humidity_ratio]],Таблица1[[#This Row],[pressure_kpa]])</f>
        <v>20.316087320021246</v>
      </c>
      <c r="H158" s="5" cm="1">
        <f t="array" ref="H158">wet_bulb_temp_simple(Таблица1[[#This Row],[temp]],Таблица1[[#This Row],[humidity]])</f>
        <v>20.944164860616297</v>
      </c>
      <c r="I158" s="5">
        <f>IF(Таблица1[[#This Row],[wet_bulb_thermo]]+$F$1&lt;20,20,Таблица1[[#This Row],[wet_bulb_thermo]]+$F$1)</f>
        <v>30.316087320021246</v>
      </c>
      <c r="J158" s="9">
        <f>Таблица1[[#This Row],[Tcold]]+$I$1</f>
        <v>40.316087320021246</v>
      </c>
      <c r="K158" s="12" cm="1">
        <f t="array" ref="K158">evaporation(Таблица1[[#This Row],[Thot]],Таблица1[[#This Row],[Tcold]],Таблица1[[#This Row],[temp]],Таблица1[[#This Row],[humidity_ratio]],Таблица1[[#This Row],[pressure_kpa]])/$I$1</f>
        <v>1.6538566391807795E-3</v>
      </c>
      <c r="L158">
        <f>MONTH(Таблица1[[#This Row],[date]])</f>
        <v>5</v>
      </c>
      <c r="M158" t="str">
        <f>IF(AND(Таблица1[[#This Row],[month]]&gt;3, Таблица1[[#This Row],[month]]&lt;11),"SUMMER","WINTER")</f>
        <v>SUMMER</v>
      </c>
    </row>
    <row r="159" spans="1:13" x14ac:dyDescent="0.25">
      <c r="A159" s="2">
        <v>44339</v>
      </c>
      <c r="B159" s="5">
        <v>40.225000000000001</v>
      </c>
      <c r="C159" s="5">
        <v>748.36249999999995</v>
      </c>
      <c r="D159" s="5">
        <v>14.625</v>
      </c>
      <c r="E159" s="5">
        <f>Таблица1[[#This Row],[pressure]]/760*101325</f>
        <v>99773.4609375</v>
      </c>
      <c r="F159" s="7">
        <f>Таблица1[[#This Row],[humidity]]/100</f>
        <v>0.14624999999999999</v>
      </c>
      <c r="G159" s="5" cm="1">
        <f t="array" ref="G159">wet_bulb_temp(Таблица1[[#This Row],[temp]],Таблица1[[#This Row],[humidity_ratio]],Таблица1[[#This Row],[pressure_kpa]])</f>
        <v>20.234508759617327</v>
      </c>
      <c r="H159" s="5" cm="1">
        <f t="array" ref="H159">wet_bulb_temp_simple(Таблица1[[#This Row],[temp]],Таблица1[[#This Row],[humidity]])</f>
        <v>20.753608860455742</v>
      </c>
      <c r="I159" s="5">
        <f>IF(Таблица1[[#This Row],[wet_bulb_thermo]]+$F$1&lt;20,20,Таблица1[[#This Row],[wet_bulb_thermo]]+$F$1)</f>
        <v>30.234508759617327</v>
      </c>
      <c r="J159" s="9">
        <f>Таблица1[[#This Row],[Tcold]]+$I$1</f>
        <v>40.234508759617327</v>
      </c>
      <c r="K159" s="12" cm="1">
        <f t="array" ref="K159">evaporation(Таблица1[[#This Row],[Thot]],Таблица1[[#This Row],[Tcold]],Таблица1[[#This Row],[temp]],Таблица1[[#This Row],[humidity_ratio]],Таблица1[[#This Row],[pressure_kpa]])/$I$1</f>
        <v>1.6847898166984809E-3</v>
      </c>
      <c r="L159">
        <f>MONTH(Таблица1[[#This Row],[date]])</f>
        <v>5</v>
      </c>
      <c r="M159" t="str">
        <f>IF(AND(Таблица1[[#This Row],[month]]&gt;3, Таблица1[[#This Row],[month]]&lt;11),"SUMMER","WINTER")</f>
        <v>SUMMER</v>
      </c>
    </row>
    <row r="160" spans="1:13" x14ac:dyDescent="0.25">
      <c r="A160" s="2">
        <v>44340</v>
      </c>
      <c r="B160" s="5">
        <v>37.475000000000001</v>
      </c>
      <c r="C160" s="5">
        <v>751.01250000000005</v>
      </c>
      <c r="D160" s="5">
        <v>18.625</v>
      </c>
      <c r="E160" s="5">
        <f>Таблица1[[#This Row],[pressure]]/760*101325</f>
        <v>100126.7652138158</v>
      </c>
      <c r="F160" s="7">
        <f>Таблица1[[#This Row],[humidity]]/100</f>
        <v>0.18625</v>
      </c>
      <c r="G160" s="5" cm="1">
        <f t="array" ref="G160">wet_bulb_temp(Таблица1[[#This Row],[temp]],Таблица1[[#This Row],[humidity_ratio]],Таблица1[[#This Row],[pressure_kpa]])</f>
        <v>19.898406828212558</v>
      </c>
      <c r="H160" s="5" cm="1">
        <f t="array" ref="H160">wet_bulb_temp_simple(Таблица1[[#This Row],[temp]],Таблица1[[#This Row],[humidity]])</f>
        <v>20.511590481204596</v>
      </c>
      <c r="I160" s="5">
        <f>IF(Таблица1[[#This Row],[wet_bulb_thermo]]+$F$1&lt;20,20,Таблица1[[#This Row],[wet_bulb_thermo]]+$F$1)</f>
        <v>29.898406828212558</v>
      </c>
      <c r="J160" s="9">
        <f>Таблица1[[#This Row],[Tcold]]+$I$1</f>
        <v>39.898406828212558</v>
      </c>
      <c r="K160" s="12" cm="1">
        <f t="array" ref="K160">evaporation(Таблица1[[#This Row],[Thot]],Таблица1[[#This Row],[Tcold]],Таблица1[[#This Row],[temp]],Таблица1[[#This Row],[humidity_ratio]],Таблица1[[#This Row],[pressure_kpa]])/$I$1</f>
        <v>1.6461282907070623E-3</v>
      </c>
      <c r="L160">
        <f>MONTH(Таблица1[[#This Row],[date]])</f>
        <v>5</v>
      </c>
      <c r="M160" t="str">
        <f>IF(AND(Таблица1[[#This Row],[month]]&gt;3, Таблица1[[#This Row],[month]]&lt;11),"SUMMER","WINTER")</f>
        <v>SUMMER</v>
      </c>
    </row>
    <row r="161" spans="1:13" x14ac:dyDescent="0.25">
      <c r="A161" s="2">
        <v>44341</v>
      </c>
      <c r="B161" s="5">
        <v>37.575000000000003</v>
      </c>
      <c r="C161" s="5">
        <v>750.375</v>
      </c>
      <c r="D161" s="5">
        <v>19.875</v>
      </c>
      <c r="E161" s="5">
        <f>Таблица1[[#This Row],[pressure]]/760*101325</f>
        <v>100041.77220394737</v>
      </c>
      <c r="F161" s="7">
        <f>Таблица1[[#This Row],[humidity]]/100</f>
        <v>0.19875000000000001</v>
      </c>
      <c r="G161" s="5" cm="1">
        <f t="array" ref="G161">wet_bulb_temp(Таблица1[[#This Row],[temp]],Таблица1[[#This Row],[humidity_ratio]],Таблица1[[#This Row],[pressure_kpa]])</f>
        <v>20.348235649016065</v>
      </c>
      <c r="H161" s="5" cm="1">
        <f t="array" ref="H161">wet_bulb_temp_simple(Таблица1[[#This Row],[temp]],Таблица1[[#This Row],[humidity]])</f>
        <v>21.011645958046774</v>
      </c>
      <c r="I161" s="5">
        <f>IF(Таблица1[[#This Row],[wet_bulb_thermo]]+$F$1&lt;20,20,Таблица1[[#This Row],[wet_bulb_thermo]]+$F$1)</f>
        <v>30.348235649016065</v>
      </c>
      <c r="J161" s="9">
        <f>Таблица1[[#This Row],[Tcold]]+$I$1</f>
        <v>40.348235649016061</v>
      </c>
      <c r="K161" s="12" cm="1">
        <f t="array" ref="K161">evaporation(Таблица1[[#This Row],[Thot]],Таблица1[[#This Row],[Tcold]],Таблица1[[#This Row],[temp]],Таблица1[[#This Row],[humidity_ratio]],Таблица1[[#This Row],[pressure_kpa]])/$I$1</f>
        <v>1.6416273826206154E-3</v>
      </c>
      <c r="L161">
        <f>MONTH(Таблица1[[#This Row],[date]])</f>
        <v>5</v>
      </c>
      <c r="M161" t="str">
        <f>IF(AND(Таблица1[[#This Row],[month]]&gt;3, Таблица1[[#This Row],[month]]&lt;11),"SUMMER","WINTER")</f>
        <v>SUMMER</v>
      </c>
    </row>
    <row r="162" spans="1:13" x14ac:dyDescent="0.25">
      <c r="A162" s="2">
        <v>44342</v>
      </c>
      <c r="B162" s="5">
        <v>33.6</v>
      </c>
      <c r="C162" s="5">
        <v>751.98749999999995</v>
      </c>
      <c r="D162" s="5">
        <v>21</v>
      </c>
      <c r="E162" s="5">
        <f>Таблица1[[#This Row],[pressure]]/760*101325</f>
        <v>100256.75452302631</v>
      </c>
      <c r="F162" s="7">
        <f>Таблица1[[#This Row],[humidity]]/100</f>
        <v>0.21</v>
      </c>
      <c r="G162" s="5" cm="1">
        <f t="array" ref="G162">wet_bulb_temp(Таблица1[[#This Row],[temp]],Таблица1[[#This Row],[humidity_ratio]],Таблица1[[#This Row],[pressure_kpa]])</f>
        <v>18.148376886324471</v>
      </c>
      <c r="H162" s="5" cm="1">
        <f t="array" ref="H162">wet_bulb_temp_simple(Таблица1[[#This Row],[temp]],Таблица1[[#This Row],[humidity]])</f>
        <v>18.651630204874667</v>
      </c>
      <c r="I162" s="5">
        <f>IF(Таблица1[[#This Row],[wet_bulb_thermo]]+$F$1&lt;20,20,Таблица1[[#This Row],[wet_bulb_thermo]]+$F$1)</f>
        <v>28.148376886324471</v>
      </c>
      <c r="J162" s="9">
        <f>Таблица1[[#This Row],[Tcold]]+$I$1</f>
        <v>38.148376886324471</v>
      </c>
      <c r="K162" s="12" cm="1">
        <f t="array" ref="K162">evaporation(Таблица1[[#This Row],[Thot]],Таблица1[[#This Row],[Tcold]],Таблица1[[#This Row],[temp]],Таблица1[[#This Row],[humidity_ratio]],Таблица1[[#This Row],[pressure_kpa]])/$I$1</f>
        <v>1.6056592682205998E-3</v>
      </c>
      <c r="L162">
        <f>MONTH(Таблица1[[#This Row],[date]])</f>
        <v>5</v>
      </c>
      <c r="M162" t="str">
        <f>IF(AND(Таблица1[[#This Row],[month]]&gt;3, Таблица1[[#This Row],[month]]&lt;11),"SUMMER","WINTER")</f>
        <v>SUMMER</v>
      </c>
    </row>
    <row r="163" spans="1:13" x14ac:dyDescent="0.25">
      <c r="A163" s="2">
        <v>44343</v>
      </c>
      <c r="B163" s="5">
        <v>34.4</v>
      </c>
      <c r="C163" s="5">
        <v>751.78750000000002</v>
      </c>
      <c r="D163" s="5">
        <v>22</v>
      </c>
      <c r="E163" s="5">
        <f>Таблица1[[#This Row],[pressure]]/760*101325</f>
        <v>100230.09004934211</v>
      </c>
      <c r="F163" s="7">
        <f>Таблица1[[#This Row],[humidity]]/100</f>
        <v>0.22</v>
      </c>
      <c r="G163" s="5" cm="1">
        <f t="array" ref="G163">wet_bulb_temp(Таблица1[[#This Row],[temp]],Таблица1[[#This Row],[humidity_ratio]],Таблица1[[#This Row],[pressure_kpa]])</f>
        <v>18.929558207044721</v>
      </c>
      <c r="H163" s="5" cm="1">
        <f t="array" ref="H163">wet_bulb_temp_simple(Таблица1[[#This Row],[temp]],Таблица1[[#This Row],[humidity]])</f>
        <v>19.503815750990469</v>
      </c>
      <c r="I163" s="5">
        <f>IF(Таблица1[[#This Row],[wet_bulb_thermo]]+$F$1&lt;20,20,Таблица1[[#This Row],[wet_bulb_thermo]]+$F$1)</f>
        <v>28.929558207044721</v>
      </c>
      <c r="J163" s="9">
        <f>Таблица1[[#This Row],[Tcold]]+$I$1</f>
        <v>38.929558207044721</v>
      </c>
      <c r="K163" s="12" cm="1">
        <f t="array" ref="K163">evaporation(Таблица1[[#This Row],[Thot]],Таблица1[[#This Row],[Tcold]],Таблица1[[#This Row],[temp]],Таблица1[[#This Row],[humidity_ratio]],Таблица1[[#This Row],[pressure_kpa]])/$I$1</f>
        <v>1.6089218815630868E-3</v>
      </c>
      <c r="L163">
        <f>MONTH(Таблица1[[#This Row],[date]])</f>
        <v>5</v>
      </c>
      <c r="M163" t="str">
        <f>IF(AND(Таблица1[[#This Row],[month]]&gt;3, Таблица1[[#This Row],[month]]&lt;11),"SUMMER","WINTER")</f>
        <v>SUMMER</v>
      </c>
    </row>
    <row r="164" spans="1:13" x14ac:dyDescent="0.25">
      <c r="A164" s="2">
        <v>44344</v>
      </c>
      <c r="B164" s="5">
        <v>36.862499999999997</v>
      </c>
      <c r="C164" s="5">
        <v>750.76250000000005</v>
      </c>
      <c r="D164" s="5">
        <v>18.5</v>
      </c>
      <c r="E164" s="5">
        <f>Таблица1[[#This Row],[pressure]]/760*101325</f>
        <v>100093.43462171053</v>
      </c>
      <c r="F164" s="7">
        <f>Таблица1[[#This Row],[humidity]]/100</f>
        <v>0.185</v>
      </c>
      <c r="G164" s="5" cm="1">
        <f t="array" ref="G164">wet_bulb_temp(Таблица1[[#This Row],[temp]],Таблица1[[#This Row],[humidity_ratio]],Таблица1[[#This Row],[pressure_kpa]])</f>
        <v>19.48636988678679</v>
      </c>
      <c r="H164" s="5" cm="1">
        <f t="array" ref="H164">wet_bulb_temp_simple(Таблица1[[#This Row],[temp]],Таблица1[[#This Row],[humidity]])</f>
        <v>20.058999347995972</v>
      </c>
      <c r="I164" s="5">
        <f>IF(Таблица1[[#This Row],[wet_bulb_thermo]]+$F$1&lt;20,20,Таблица1[[#This Row],[wet_bulb_thermo]]+$F$1)</f>
        <v>29.48636988678679</v>
      </c>
      <c r="J164" s="9">
        <f>Таблица1[[#This Row],[Tcold]]+$I$1</f>
        <v>39.48636988678679</v>
      </c>
      <c r="K164" s="12" cm="1">
        <f t="array" ref="K164">evaporation(Таблица1[[#This Row],[Thot]],Таблица1[[#This Row],[Tcold]],Таблица1[[#This Row],[temp]],Таблица1[[#This Row],[humidity_ratio]],Таблица1[[#This Row],[pressure_kpa]])/$I$1</f>
        <v>1.6420297669836354E-3</v>
      </c>
      <c r="L164">
        <f>MONTH(Таблица1[[#This Row],[date]])</f>
        <v>5</v>
      </c>
      <c r="M164" t="str">
        <f>IF(AND(Таблица1[[#This Row],[month]]&gt;3, Таблица1[[#This Row],[month]]&lt;11),"SUMMER","WINTER")</f>
        <v>SUMMER</v>
      </c>
    </row>
    <row r="165" spans="1:13" x14ac:dyDescent="0.25">
      <c r="A165" s="2">
        <v>44345</v>
      </c>
      <c r="B165" s="5">
        <v>37.762500000000003</v>
      </c>
      <c r="C165" s="5">
        <v>750.77499999999998</v>
      </c>
      <c r="D165" s="5">
        <v>15.75</v>
      </c>
      <c r="E165" s="5">
        <f>Таблица1[[#This Row],[pressure]]/760*101325</f>
        <v>100095.10115131579</v>
      </c>
      <c r="F165" s="7">
        <f>Таблица1[[#This Row],[humidity]]/100</f>
        <v>0.1575</v>
      </c>
      <c r="G165" s="5" cm="1">
        <f t="array" ref="G165">wet_bulb_temp(Таблица1[[#This Row],[temp]],Таблица1[[#This Row],[humidity_ratio]],Таблица1[[#This Row],[pressure_kpa]])</f>
        <v>19.169607620642775</v>
      </c>
      <c r="H165" s="5" cm="1">
        <f t="array" ref="H165">wet_bulb_temp_simple(Таблица1[[#This Row],[temp]],Таблица1[[#This Row],[humidity]])</f>
        <v>19.643361220242419</v>
      </c>
      <c r="I165" s="5">
        <f>IF(Таблица1[[#This Row],[wet_bulb_thermo]]+$F$1&lt;20,20,Таблица1[[#This Row],[wet_bulb_thermo]]+$F$1)</f>
        <v>29.169607620642775</v>
      </c>
      <c r="J165" s="9">
        <f>Таблица1[[#This Row],[Tcold]]+$I$1</f>
        <v>39.169607620642779</v>
      </c>
      <c r="K165" s="12" cm="1">
        <f t="array" ref="K165">evaporation(Таблица1[[#This Row],[Thot]],Таблица1[[#This Row],[Tcold]],Таблица1[[#This Row],[temp]],Таблица1[[#This Row],[humidity_ratio]],Таблица1[[#This Row],[pressure_kpa]])/$I$1</f>
        <v>1.6613713320680009E-3</v>
      </c>
      <c r="L165">
        <f>MONTH(Таблица1[[#This Row],[date]])</f>
        <v>5</v>
      </c>
      <c r="M165" t="str">
        <f>IF(AND(Таблица1[[#This Row],[month]]&gt;3, Таблица1[[#This Row],[month]]&lt;11),"SUMMER","WINTER")</f>
        <v>SUMMER</v>
      </c>
    </row>
    <row r="166" spans="1:13" x14ac:dyDescent="0.25">
      <c r="A166" s="2">
        <v>44346</v>
      </c>
      <c r="B166" s="5">
        <v>38.549999999999997</v>
      </c>
      <c r="C166" s="5">
        <v>751.58749999999998</v>
      </c>
      <c r="D166" s="5">
        <v>12.75</v>
      </c>
      <c r="E166" s="5">
        <f>Таблица1[[#This Row],[pressure]]/760*101325</f>
        <v>100203.42557565789</v>
      </c>
      <c r="F166" s="7">
        <f>Таблица1[[#This Row],[humidity]]/100</f>
        <v>0.1275</v>
      </c>
      <c r="G166" s="5" cm="1">
        <f t="array" ref="G166">wet_bulb_temp(Таблица1[[#This Row],[temp]],Таблица1[[#This Row],[humidity_ratio]],Таблица1[[#This Row],[pressure_kpa]])</f>
        <v>18.622125296379057</v>
      </c>
      <c r="H166" s="5" cm="1">
        <f t="array" ref="H166">wet_bulb_temp_simple(Таблица1[[#This Row],[temp]],Таблица1[[#This Row],[humidity]])</f>
        <v>18.914384334176233</v>
      </c>
      <c r="I166" s="5">
        <f>IF(Таблица1[[#This Row],[wet_bulb_thermo]]+$F$1&lt;20,20,Таблица1[[#This Row],[wet_bulb_thermo]]+$F$1)</f>
        <v>28.622125296379057</v>
      </c>
      <c r="J166" s="9">
        <f>Таблица1[[#This Row],[Tcold]]+$I$1</f>
        <v>38.622125296379053</v>
      </c>
      <c r="K166" s="12" cm="1">
        <f t="array" ref="K166">evaporation(Таблица1[[#This Row],[Thot]],Таблица1[[#This Row],[Tcold]],Таблица1[[#This Row],[temp]],Таблица1[[#This Row],[humidity_ratio]],Таблица1[[#This Row],[pressure_kpa]])/$I$1</f>
        <v>1.6831687192634015E-3</v>
      </c>
      <c r="L166">
        <f>MONTH(Таблица1[[#This Row],[date]])</f>
        <v>5</v>
      </c>
      <c r="M166" t="str">
        <f>IF(AND(Таблица1[[#This Row],[month]]&gt;3, Таблица1[[#This Row],[month]]&lt;11),"SUMMER","WINTER")</f>
        <v>SUMMER</v>
      </c>
    </row>
    <row r="167" spans="1:13" x14ac:dyDescent="0.25">
      <c r="A167" s="2">
        <v>44347</v>
      </c>
      <c r="B167" s="5">
        <v>39.162500000000001</v>
      </c>
      <c r="C167" s="5">
        <v>750.61249999999995</v>
      </c>
      <c r="D167" s="5">
        <v>12.25</v>
      </c>
      <c r="E167" s="5">
        <f>Таблица1[[#This Row],[pressure]]/760*101325</f>
        <v>100073.43626644736</v>
      </c>
      <c r="F167" s="7">
        <f>Таблица1[[#This Row],[humidity]]/100</f>
        <v>0.1225</v>
      </c>
      <c r="G167" s="5" cm="1">
        <f t="array" ref="G167">wet_bulb_temp(Таблица1[[#This Row],[temp]],Таблица1[[#This Row],[humidity_ratio]],Таблица1[[#This Row],[pressure_kpa]])</f>
        <v>18.791781532390967</v>
      </c>
      <c r="H167" s="5" cm="1">
        <f t="array" ref="H167">wet_bulb_temp_simple(Таблица1[[#This Row],[temp]],Таблица1[[#This Row],[humidity]])</f>
        <v>19.06666732727955</v>
      </c>
      <c r="I167" s="5">
        <f>IF(Таблица1[[#This Row],[wet_bulb_thermo]]+$F$1&lt;20,20,Таблица1[[#This Row],[wet_bulb_thermo]]+$F$1)</f>
        <v>28.791781532390967</v>
      </c>
      <c r="J167" s="9">
        <f>Таблица1[[#This Row],[Tcold]]+$I$1</f>
        <v>38.791781532390971</v>
      </c>
      <c r="K167" s="12" cm="1">
        <f t="array" ref="K167">evaporation(Таблица1[[#This Row],[Thot]],Таблица1[[#This Row],[Tcold]],Таблица1[[#This Row],[temp]],Таблица1[[#This Row],[humidity_ratio]],Таблица1[[#This Row],[pressure_kpa]])/$I$1</f>
        <v>1.6906642376605888E-3</v>
      </c>
      <c r="L167">
        <f>MONTH(Таблица1[[#This Row],[date]])</f>
        <v>5</v>
      </c>
      <c r="M167" t="str">
        <f>IF(AND(Таблица1[[#This Row],[month]]&gt;3, Таблица1[[#This Row],[month]]&lt;11),"SUMMER","WINTER")</f>
        <v>SUMMER</v>
      </c>
    </row>
    <row r="168" spans="1:13" x14ac:dyDescent="0.25">
      <c r="A168" s="2">
        <v>44348</v>
      </c>
      <c r="B168" s="5">
        <v>38.362499999999997</v>
      </c>
      <c r="C168" s="5">
        <v>748.8</v>
      </c>
      <c r="D168" s="5">
        <v>12.75</v>
      </c>
      <c r="E168" s="5">
        <f>Таблица1[[#This Row],[pressure]]/760*101325</f>
        <v>99831.789473684199</v>
      </c>
      <c r="F168" s="7">
        <f>Таблица1[[#This Row],[humidity]]/100</f>
        <v>0.1275</v>
      </c>
      <c r="G168" s="5" cm="1">
        <f t="array" ref="G168">wet_bulb_temp(Таблица1[[#This Row],[temp]],Таблица1[[#This Row],[humidity_ratio]],Таблица1[[#This Row],[pressure_kpa]])</f>
        <v>18.534580996350542</v>
      </c>
      <c r="H168" s="5" cm="1">
        <f t="array" ref="H168">wet_bulb_temp_simple(Таблица1[[#This Row],[temp]],Таблица1[[#This Row],[humidity]])</f>
        <v>18.800116587637127</v>
      </c>
      <c r="I168" s="5">
        <f>IF(Таблица1[[#This Row],[wet_bulb_thermo]]+$F$1&lt;20,20,Таблица1[[#This Row],[wet_bulb_thermo]]+$F$1)</f>
        <v>28.534580996350542</v>
      </c>
      <c r="J168" s="9">
        <f>Таблица1[[#This Row],[Tcold]]+$I$1</f>
        <v>38.534580996350542</v>
      </c>
      <c r="K168" s="12" cm="1">
        <f t="array" ref="K168">evaporation(Таблица1[[#This Row],[Thot]],Таблица1[[#This Row],[Tcold]],Таблица1[[#This Row],[temp]],Таблица1[[#This Row],[humidity_ratio]],Таблица1[[#This Row],[pressure_kpa]])/$I$1</f>
        <v>1.6814494130547978E-3</v>
      </c>
      <c r="L168">
        <f>MONTH(Таблица1[[#This Row],[date]])</f>
        <v>6</v>
      </c>
      <c r="M168" t="str">
        <f>IF(AND(Таблица1[[#This Row],[month]]&gt;3, Таблица1[[#This Row],[month]]&lt;11),"SUMMER","WINTER")</f>
        <v>SUMMER</v>
      </c>
    </row>
    <row r="169" spans="1:13" x14ac:dyDescent="0.25">
      <c r="A169" s="2">
        <v>44349</v>
      </c>
      <c r="B169" s="5">
        <v>40.487499999999997</v>
      </c>
      <c r="C169" s="5">
        <v>748.76250000000005</v>
      </c>
      <c r="D169" s="5">
        <v>9.125</v>
      </c>
      <c r="E169" s="5">
        <f>Таблица1[[#This Row],[pressure]]/760*101325</f>
        <v>99826.789884868427</v>
      </c>
      <c r="F169" s="7">
        <f>Таблица1[[#This Row],[humidity]]/100</f>
        <v>9.1249999999999998E-2</v>
      </c>
      <c r="G169" s="5" cm="1">
        <f t="array" ref="G169">wet_bulb_temp(Таблица1[[#This Row],[temp]],Таблица1[[#This Row],[humidity_ratio]],Таблица1[[#This Row],[pressure_kpa]])</f>
        <v>18.35920090639512</v>
      </c>
      <c r="H169" s="5" cm="1">
        <f t="array" ref="H169">wet_bulb_temp_simple(Таблица1[[#This Row],[temp]],Таблица1[[#This Row],[humidity]])</f>
        <v>18.345738255268024</v>
      </c>
      <c r="I169" s="5">
        <f>IF(Таблица1[[#This Row],[wet_bulb_thermo]]+$F$1&lt;20,20,Таблица1[[#This Row],[wet_bulb_thermo]]+$F$1)</f>
        <v>28.35920090639512</v>
      </c>
      <c r="J169" s="9">
        <f>Таблица1[[#This Row],[Tcold]]+$I$1</f>
        <v>38.359200906395117</v>
      </c>
      <c r="K169" s="12" cm="1">
        <f t="array" ref="K169">evaporation(Таблица1[[#This Row],[Thot]],Таблица1[[#This Row],[Tcold]],Таблица1[[#This Row],[temp]],Таблица1[[#This Row],[humidity_ratio]],Таблица1[[#This Row],[pressure_kpa]])/$I$1</f>
        <v>1.7205845392440401E-3</v>
      </c>
      <c r="L169">
        <f>MONTH(Таблица1[[#This Row],[date]])</f>
        <v>6</v>
      </c>
      <c r="M169" t="str">
        <f>IF(AND(Таблица1[[#This Row],[month]]&gt;3, Таблица1[[#This Row],[month]]&lt;11),"SUMMER","WINTER")</f>
        <v>SUMMER</v>
      </c>
    </row>
    <row r="170" spans="1:13" x14ac:dyDescent="0.25">
      <c r="A170" s="2">
        <v>44350</v>
      </c>
      <c r="B170" s="5">
        <v>39.987499999999997</v>
      </c>
      <c r="C170" s="5">
        <v>750.0625</v>
      </c>
      <c r="D170" s="5">
        <v>11.75</v>
      </c>
      <c r="E170" s="5">
        <f>Таблица1[[#This Row],[pressure]]/760*101325</f>
        <v>100000.10896381579</v>
      </c>
      <c r="F170" s="7">
        <f>Таблица1[[#This Row],[humidity]]/100</f>
        <v>0.11749999999999999</v>
      </c>
      <c r="G170" s="5" cm="1">
        <f t="array" ref="G170">wet_bulb_temp(Таблица1[[#This Row],[temp]],Таблица1[[#This Row],[humidity_ratio]],Таблица1[[#This Row],[pressure_kpa]])</f>
        <v>19.06517706014834</v>
      </c>
      <c r="H170" s="5" cm="1">
        <f t="array" ref="H170">wet_bulb_temp_simple(Таблица1[[#This Row],[temp]],Таблица1[[#This Row],[humidity]])</f>
        <v>19.335314383455312</v>
      </c>
      <c r="I170" s="5">
        <f>IF(Таблица1[[#This Row],[wet_bulb_thermo]]+$F$1&lt;20,20,Таблица1[[#This Row],[wet_bulb_thermo]]+$F$1)</f>
        <v>29.06517706014834</v>
      </c>
      <c r="J170" s="9">
        <f>Таблица1[[#This Row],[Tcold]]+$I$1</f>
        <v>39.065177060148343</v>
      </c>
      <c r="K170" s="12" cm="1">
        <f t="array" ref="K170">evaporation(Таблица1[[#This Row],[Thot]],Таблица1[[#This Row],[Tcold]],Таблица1[[#This Row],[temp]],Таблица1[[#This Row],[humidity_ratio]],Таблица1[[#This Row],[pressure_kpa]])/$I$1</f>
        <v>1.6998101091572342E-3</v>
      </c>
      <c r="L170">
        <f>MONTH(Таблица1[[#This Row],[date]])</f>
        <v>6</v>
      </c>
      <c r="M170" t="str">
        <f>IF(AND(Таблица1[[#This Row],[month]]&gt;3, Таблица1[[#This Row],[month]]&lt;11),"SUMMER","WINTER")</f>
        <v>SUMMER</v>
      </c>
    </row>
    <row r="171" spans="1:13" x14ac:dyDescent="0.25">
      <c r="A171" s="2">
        <v>44351</v>
      </c>
      <c r="B171" s="5">
        <v>39.412500000000001</v>
      </c>
      <c r="C171" s="5">
        <v>750.33749999999998</v>
      </c>
      <c r="D171" s="5">
        <v>10.25</v>
      </c>
      <c r="E171" s="5">
        <f>Таблица1[[#This Row],[pressure]]/760*101325</f>
        <v>100036.77261513157</v>
      </c>
      <c r="F171" s="7">
        <f>Таблица1[[#This Row],[humidity]]/100</f>
        <v>0.10249999999999999</v>
      </c>
      <c r="G171" s="5" cm="1">
        <f t="array" ref="G171">wet_bulb_temp(Таблица1[[#This Row],[temp]],Таблица1[[#This Row],[humidity_ratio]],Таблица1[[#This Row],[pressure_kpa]])</f>
        <v>18.215928568336739</v>
      </c>
      <c r="H171" s="5" cm="1">
        <f t="array" ref="H171">wet_bulb_temp_simple(Таблица1[[#This Row],[temp]],Таблица1[[#This Row],[humidity]])</f>
        <v>18.288969023118188</v>
      </c>
      <c r="I171" s="5">
        <f>IF(Таблица1[[#This Row],[wet_bulb_thermo]]+$F$1&lt;20,20,Таблица1[[#This Row],[wet_bulb_thermo]]+$F$1)</f>
        <v>28.215928568336739</v>
      </c>
      <c r="J171" s="9">
        <f>Таблица1[[#This Row],[Tcold]]+$I$1</f>
        <v>38.215928568336736</v>
      </c>
      <c r="K171" s="12" cm="1">
        <f t="array" ref="K171">evaporation(Таблица1[[#This Row],[Thot]],Таблица1[[#This Row],[Tcold]],Таблица1[[#This Row],[temp]],Таблица1[[#This Row],[humidity_ratio]],Таблица1[[#This Row],[pressure_kpa]])/$I$1</f>
        <v>1.7048283885598013E-3</v>
      </c>
      <c r="L171">
        <f>MONTH(Таблица1[[#This Row],[date]])</f>
        <v>6</v>
      </c>
      <c r="M171" t="str">
        <f>IF(AND(Таблица1[[#This Row],[month]]&gt;3, Таблица1[[#This Row],[month]]&lt;11),"SUMMER","WINTER")</f>
        <v>SUMMER</v>
      </c>
    </row>
    <row r="172" spans="1:13" x14ac:dyDescent="0.25">
      <c r="A172" s="2">
        <v>44352</v>
      </c>
      <c r="B172" s="5">
        <v>41.25</v>
      </c>
      <c r="C172" s="5">
        <v>748.78750000000002</v>
      </c>
      <c r="D172" s="5">
        <v>11.75</v>
      </c>
      <c r="E172" s="5">
        <f>Таблица1[[#This Row],[pressure]]/760*101325</f>
        <v>99830.122944078947</v>
      </c>
      <c r="F172" s="7">
        <f>Таблица1[[#This Row],[humidity]]/100</f>
        <v>0.11749999999999999</v>
      </c>
      <c r="G172" s="5" cm="1">
        <f t="array" ref="G172">wet_bulb_temp(Таблица1[[#This Row],[temp]],Таблица1[[#This Row],[humidity_ratio]],Таблица1[[#This Row],[pressure_kpa]])</f>
        <v>19.753756575893927</v>
      </c>
      <c r="H172" s="5" cm="1">
        <f t="array" ref="H172">wet_bulb_temp_simple(Таблица1[[#This Row],[temp]],Таблица1[[#This Row],[humidity]])</f>
        <v>20.090351042299371</v>
      </c>
      <c r="I172" s="5">
        <f>IF(Таблица1[[#This Row],[wet_bulb_thermo]]+$F$1&lt;20,20,Таблица1[[#This Row],[wet_bulb_thermo]]+$F$1)</f>
        <v>29.753756575893927</v>
      </c>
      <c r="J172" s="9">
        <f>Таблица1[[#This Row],[Tcold]]+$I$1</f>
        <v>39.753756575893931</v>
      </c>
      <c r="K172" s="12" cm="1">
        <f t="array" ref="K172">evaporation(Таблица1[[#This Row],[Thot]],Таблица1[[#This Row],[Tcold]],Таблица1[[#This Row],[temp]],Таблица1[[#This Row],[humidity_ratio]],Таблица1[[#This Row],[pressure_kpa]])/$I$1</f>
        <v>1.7087515302660818E-3</v>
      </c>
      <c r="L172">
        <f>MONTH(Таблица1[[#This Row],[date]])</f>
        <v>6</v>
      </c>
      <c r="M172" t="str">
        <f>IF(AND(Таблица1[[#This Row],[month]]&gt;3, Таблица1[[#This Row],[month]]&lt;11),"SUMMER","WINTER")</f>
        <v>SUMMER</v>
      </c>
    </row>
    <row r="173" spans="1:13" x14ac:dyDescent="0.25">
      <c r="A173" s="2">
        <v>44353</v>
      </c>
      <c r="B173" s="5">
        <v>40.987499999999997</v>
      </c>
      <c r="C173" s="5">
        <v>749.125</v>
      </c>
      <c r="D173" s="5">
        <v>13.5</v>
      </c>
      <c r="E173" s="5">
        <f>Таблица1[[#This Row],[pressure]]/760*101325</f>
        <v>99875.119243421053</v>
      </c>
      <c r="F173" s="7">
        <f>Таблица1[[#This Row],[humidity]]/100</f>
        <v>0.13500000000000001</v>
      </c>
      <c r="G173" s="5" cm="1">
        <f t="array" ref="G173">wet_bulb_temp(Таблица1[[#This Row],[temp]],Таблица1[[#This Row],[humidity_ratio]],Таблица1[[#This Row],[pressure_kpa]])</f>
        <v>20.257633798365376</v>
      </c>
      <c r="H173" s="5" cm="1">
        <f t="array" ref="H173">wet_bulb_temp_simple(Таблица1[[#This Row],[temp]],Таблица1[[#This Row],[humidity]])</f>
        <v>20.739492101851138</v>
      </c>
      <c r="I173" s="5">
        <f>IF(Таблица1[[#This Row],[wet_bulb_thermo]]+$F$1&lt;20,20,Таблица1[[#This Row],[wet_bulb_thermo]]+$F$1)</f>
        <v>30.257633798365376</v>
      </c>
      <c r="J173" s="9">
        <f>Таблица1[[#This Row],[Tcold]]+$I$1</f>
        <v>40.257633798365376</v>
      </c>
      <c r="K173" s="12" cm="1">
        <f t="array" ref="K173">evaporation(Таблица1[[#This Row],[Thot]],Таблица1[[#This Row],[Tcold]],Таблица1[[#This Row],[temp]],Таблица1[[#This Row],[humidity_ratio]],Таблица1[[#This Row],[pressure_kpa]])/$I$1</f>
        <v>1.6963863216756113E-3</v>
      </c>
      <c r="L173">
        <f>MONTH(Таблица1[[#This Row],[date]])</f>
        <v>6</v>
      </c>
      <c r="M173" t="str">
        <f>IF(AND(Таблица1[[#This Row],[month]]&gt;3, Таблица1[[#This Row],[month]]&lt;11),"SUMMER","WINTER")</f>
        <v>SUMMER</v>
      </c>
    </row>
    <row r="174" spans="1:13" x14ac:dyDescent="0.25">
      <c r="A174" s="2">
        <v>44354</v>
      </c>
      <c r="B174" s="5">
        <v>38.462499999999999</v>
      </c>
      <c r="C174" s="5">
        <v>750.83749999999998</v>
      </c>
      <c r="D174" s="5">
        <v>11.75</v>
      </c>
      <c r="E174" s="5">
        <f>Таблица1[[#This Row],[pressure]]/760*101325</f>
        <v>100103.43379934209</v>
      </c>
      <c r="F174" s="7">
        <f>Таблица1[[#This Row],[humidity]]/100</f>
        <v>0.11749999999999999</v>
      </c>
      <c r="G174" s="5" cm="1">
        <f t="array" ref="G174">wet_bulb_temp(Таблица1[[#This Row],[temp]],Таблица1[[#This Row],[humidity_ratio]],Таблица1[[#This Row],[pressure_kpa]])</f>
        <v>18.236651118125963</v>
      </c>
      <c r="H174" s="5" cm="1">
        <f t="array" ref="H174">wet_bulb_temp_simple(Таблица1[[#This Row],[temp]],Таблица1[[#This Row],[humidity]])</f>
        <v>18.42325905370906</v>
      </c>
      <c r="I174" s="5">
        <f>IF(Таблица1[[#This Row],[wet_bulb_thermo]]+$F$1&lt;20,20,Таблица1[[#This Row],[wet_bulb_thermo]]+$F$1)</f>
        <v>28.236651118125963</v>
      </c>
      <c r="J174" s="9">
        <f>Таблица1[[#This Row],[Tcold]]+$I$1</f>
        <v>38.236651118125963</v>
      </c>
      <c r="K174" s="12" cm="1">
        <f t="array" ref="K174">evaporation(Таблица1[[#This Row],[Thot]],Таблица1[[#This Row],[Tcold]],Таблица1[[#This Row],[temp]],Таблица1[[#This Row],[humidity_ratio]],Таблица1[[#This Row],[pressure_kpa]])/$I$1</f>
        <v>1.6881406665253088E-3</v>
      </c>
      <c r="L174">
        <f>MONTH(Таблица1[[#This Row],[date]])</f>
        <v>6</v>
      </c>
      <c r="M174" t="str">
        <f>IF(AND(Таблица1[[#This Row],[month]]&gt;3, Таблица1[[#This Row],[month]]&lt;11),"SUMMER","WINTER")</f>
        <v>SUMMER</v>
      </c>
    </row>
    <row r="175" spans="1:13" x14ac:dyDescent="0.25">
      <c r="A175" s="2">
        <v>44355</v>
      </c>
      <c r="B175" s="5">
        <v>36.962499999999999</v>
      </c>
      <c r="C175" s="5">
        <v>749.65</v>
      </c>
      <c r="D175" s="5">
        <v>10.5</v>
      </c>
      <c r="E175" s="5">
        <f>Таблица1[[#This Row],[pressure]]/760*101325</f>
        <v>99945.113486842107</v>
      </c>
      <c r="F175" s="7">
        <f>Таблица1[[#This Row],[humidity]]/100</f>
        <v>0.105</v>
      </c>
      <c r="G175" s="5" cm="1">
        <f t="array" ref="G175">wet_bulb_temp(Таблица1[[#This Row],[temp]],Таблица1[[#This Row],[humidity_ratio]],Таблица1[[#This Row],[pressure_kpa]])</f>
        <v>17.018451073090876</v>
      </c>
      <c r="H175" s="5" cm="1">
        <f t="array" ref="H175">wet_bulb_temp_simple(Таблица1[[#This Row],[temp]],Таблица1[[#This Row],[humidity]])</f>
        <v>16.979688024531416</v>
      </c>
      <c r="I175" s="5">
        <f>IF(Таблица1[[#This Row],[wet_bulb_thermo]]+$F$1&lt;20,20,Таблица1[[#This Row],[wet_bulb_thermo]]+$F$1)</f>
        <v>27.018451073090876</v>
      </c>
      <c r="J175" s="9">
        <f>Таблица1[[#This Row],[Tcold]]+$I$1</f>
        <v>37.018451073090873</v>
      </c>
      <c r="K175" s="12" cm="1">
        <f t="array" ref="K175">evaporation(Таблица1[[#This Row],[Thot]],Таблица1[[#This Row],[Tcold]],Таблица1[[#This Row],[temp]],Таблица1[[#This Row],[humidity_ratio]],Таблица1[[#This Row],[pressure_kpa]])/$I$1</f>
        <v>1.6828304336743032E-3</v>
      </c>
      <c r="L175">
        <f>MONTH(Таблица1[[#This Row],[date]])</f>
        <v>6</v>
      </c>
      <c r="M175" t="str">
        <f>IF(AND(Таблица1[[#This Row],[month]]&gt;3, Таблица1[[#This Row],[month]]&lt;11),"SUMMER","WINTER")</f>
        <v>SUMMER</v>
      </c>
    </row>
    <row r="176" spans="1:13" x14ac:dyDescent="0.25">
      <c r="A176" s="2">
        <v>44356</v>
      </c>
      <c r="B176" s="5">
        <v>37.024999999999999</v>
      </c>
      <c r="C176" s="5">
        <v>747.77499999999998</v>
      </c>
      <c r="D176" s="5">
        <v>11.875</v>
      </c>
      <c r="E176" s="5">
        <f>Таблица1[[#This Row],[pressure]]/760*101325</f>
        <v>99695.134046052626</v>
      </c>
      <c r="F176" s="7">
        <f>Таблица1[[#This Row],[humidity]]/100</f>
        <v>0.11874999999999999</v>
      </c>
      <c r="G176" s="5" cm="1">
        <f t="array" ref="G176">wet_bulb_temp(Таблица1[[#This Row],[temp]],Таблица1[[#This Row],[humidity_ratio]],Таблица1[[#This Row],[pressure_kpa]])</f>
        <v>17.514366321112046</v>
      </c>
      <c r="H176" s="5" cm="1">
        <f t="array" ref="H176">wet_bulb_temp_simple(Таблица1[[#This Row],[temp]],Таблица1[[#This Row],[humidity]])</f>
        <v>17.616964252745284</v>
      </c>
      <c r="I176" s="5">
        <f>IF(Таблица1[[#This Row],[wet_bulb_thermo]]+$F$1&lt;20,20,Таблица1[[#This Row],[wet_bulb_thermo]]+$F$1)</f>
        <v>27.514366321112046</v>
      </c>
      <c r="J176" s="9">
        <f>Таблица1[[#This Row],[Tcold]]+$I$1</f>
        <v>37.51436632111205</v>
      </c>
      <c r="K176" s="12" cm="1">
        <f t="array" ref="K176">evaporation(Таблица1[[#This Row],[Thot]],Таблица1[[#This Row],[Tcold]],Таблица1[[#This Row],[temp]],Таблица1[[#This Row],[humidity_ratio]],Таблица1[[#This Row],[pressure_kpa]])/$I$1</f>
        <v>1.6753717761343891E-3</v>
      </c>
      <c r="L176">
        <f>MONTH(Таблица1[[#This Row],[date]])</f>
        <v>6</v>
      </c>
      <c r="M176" t="str">
        <f>IF(AND(Таблица1[[#This Row],[month]]&gt;3, Таблица1[[#This Row],[month]]&lt;11),"SUMMER","WINTER")</f>
        <v>SUMMER</v>
      </c>
    </row>
    <row r="177" spans="1:13" x14ac:dyDescent="0.25">
      <c r="A177" s="2">
        <v>44357</v>
      </c>
      <c r="B177" s="5">
        <v>37.537500000000001</v>
      </c>
      <c r="C177" s="5">
        <v>746.72500000000002</v>
      </c>
      <c r="D177" s="5">
        <v>11.75</v>
      </c>
      <c r="E177" s="5">
        <f>Таблица1[[#This Row],[pressure]]/760*101325</f>
        <v>99555.145559210534</v>
      </c>
      <c r="F177" s="7">
        <f>Таблица1[[#This Row],[humidity]]/100</f>
        <v>0.11749999999999999</v>
      </c>
      <c r="G177" s="5" cm="1">
        <f t="array" ref="G177">wet_bulb_temp(Таблица1[[#This Row],[temp]],Таблица1[[#This Row],[humidity_ratio]],Таблица1[[#This Row],[pressure_kpa]])</f>
        <v>17.757173315952642</v>
      </c>
      <c r="H177" s="5" cm="1">
        <f t="array" ref="H177">wet_bulb_temp_simple(Таблица1[[#This Row],[temp]],Таблица1[[#This Row],[humidity]])</f>
        <v>17.870027479902998</v>
      </c>
      <c r="I177" s="5">
        <f>IF(Таблица1[[#This Row],[wet_bulb_thermo]]+$F$1&lt;20,20,Таблица1[[#This Row],[wet_bulb_thermo]]+$F$1)</f>
        <v>27.757173315952642</v>
      </c>
      <c r="J177" s="9">
        <f>Таблица1[[#This Row],[Tcold]]+$I$1</f>
        <v>37.757173315952642</v>
      </c>
      <c r="K177" s="12" cm="1">
        <f t="array" ref="K177">evaporation(Таблица1[[#This Row],[Thot]],Таблица1[[#This Row],[Tcold]],Таблица1[[#This Row],[temp]],Таблица1[[#This Row],[humidity_ratio]],Таблица1[[#This Row],[pressure_kpa]])/$I$1</f>
        <v>1.6802633581790784E-3</v>
      </c>
      <c r="L177">
        <f>MONTH(Таблица1[[#This Row],[date]])</f>
        <v>6</v>
      </c>
      <c r="M177" t="str">
        <f>IF(AND(Таблица1[[#This Row],[month]]&gt;3, Таблица1[[#This Row],[month]]&lt;11),"SUMMER","WINTER")</f>
        <v>SUMMER</v>
      </c>
    </row>
    <row r="178" spans="1:13" x14ac:dyDescent="0.25">
      <c r="A178" s="2">
        <v>44358</v>
      </c>
      <c r="B178" s="5">
        <v>37.712499999999999</v>
      </c>
      <c r="C178" s="5">
        <v>746.73749999999995</v>
      </c>
      <c r="D178" s="5">
        <v>11.375</v>
      </c>
      <c r="E178" s="5">
        <f>Таблица1[[#This Row],[pressure]]/760*101325</f>
        <v>99556.812088815786</v>
      </c>
      <c r="F178" s="7">
        <f>Таблица1[[#This Row],[humidity]]/100</f>
        <v>0.11375</v>
      </c>
      <c r="G178" s="5" cm="1">
        <f t="array" ref="G178">wet_bulb_temp(Таблица1[[#This Row],[temp]],Таблица1[[#This Row],[humidity_ratio]],Таблица1[[#This Row],[pressure_kpa]])</f>
        <v>17.725661269698382</v>
      </c>
      <c r="H178" s="5" cm="1">
        <f t="array" ref="H178">wet_bulb_temp_simple(Таблица1[[#This Row],[temp]],Таблица1[[#This Row],[humidity]])</f>
        <v>17.809930375317638</v>
      </c>
      <c r="I178" s="5">
        <f>IF(Таблица1[[#This Row],[wet_bulb_thermo]]+$F$1&lt;20,20,Таблица1[[#This Row],[wet_bulb_thermo]]+$F$1)</f>
        <v>27.725661269698382</v>
      </c>
      <c r="J178" s="9">
        <f>Таблица1[[#This Row],[Tcold]]+$I$1</f>
        <v>37.725661269698378</v>
      </c>
      <c r="K178" s="12" cm="1">
        <f t="array" ref="K178">evaporation(Таблица1[[#This Row],[Thot]],Таблица1[[#This Row],[Tcold]],Таблица1[[#This Row],[temp]],Таблица1[[#This Row],[humidity_ratio]],Таблица1[[#This Row],[pressure_kpa]])/$I$1</f>
        <v>1.6838539578913111E-3</v>
      </c>
      <c r="L178">
        <f>MONTH(Таблица1[[#This Row],[date]])</f>
        <v>6</v>
      </c>
      <c r="M178" t="str">
        <f>IF(AND(Таблица1[[#This Row],[month]]&gt;3, Таблица1[[#This Row],[month]]&lt;11),"SUMMER","WINTER")</f>
        <v>SUMMER</v>
      </c>
    </row>
    <row r="179" spans="1:13" x14ac:dyDescent="0.25">
      <c r="A179" s="2">
        <v>44359</v>
      </c>
      <c r="B179" s="5">
        <v>36.712499999999999</v>
      </c>
      <c r="C179" s="5">
        <v>747.51250000000005</v>
      </c>
      <c r="D179" s="5">
        <v>14.625</v>
      </c>
      <c r="E179" s="5">
        <f>Таблица1[[#This Row],[pressure]]/760*101325</f>
        <v>99660.136924342107</v>
      </c>
      <c r="F179" s="7">
        <f>Таблица1[[#This Row],[humidity]]/100</f>
        <v>0.14624999999999999</v>
      </c>
      <c r="G179" s="5" cm="1">
        <f t="array" ref="G179">wet_bulb_temp(Таблица1[[#This Row],[temp]],Таблица1[[#This Row],[humidity_ratio]],Таблица1[[#This Row],[pressure_kpa]])</f>
        <v>18.224031138193684</v>
      </c>
      <c r="H179" s="5" cm="1">
        <f t="array" ref="H179">wet_bulb_temp_simple(Таблица1[[#This Row],[temp]],Таблица1[[#This Row],[humidity]])</f>
        <v>18.542312169386683</v>
      </c>
      <c r="I179" s="5">
        <f>IF(Таблица1[[#This Row],[wet_bulb_thermo]]+$F$1&lt;20,20,Таблица1[[#This Row],[wet_bulb_thermo]]+$F$1)</f>
        <v>28.224031138193684</v>
      </c>
      <c r="J179" s="9">
        <f>Таблица1[[#This Row],[Tcold]]+$I$1</f>
        <v>38.224031138193681</v>
      </c>
      <c r="K179" s="12" cm="1">
        <f t="array" ref="K179">evaporation(Таблица1[[#This Row],[Thot]],Таблица1[[#This Row],[Tcold]],Таблица1[[#This Row],[temp]],Таблица1[[#This Row],[humidity_ratio]],Таблица1[[#This Row],[pressure_kpa]])/$I$1</f>
        <v>1.6584013194019917E-3</v>
      </c>
      <c r="L179">
        <f>MONTH(Таблица1[[#This Row],[date]])</f>
        <v>6</v>
      </c>
      <c r="M179" t="str">
        <f>IF(AND(Таблица1[[#This Row],[month]]&gt;3, Таблица1[[#This Row],[month]]&lt;11),"SUMMER","WINTER")</f>
        <v>SUMMER</v>
      </c>
    </row>
    <row r="180" spans="1:13" x14ac:dyDescent="0.25">
      <c r="A180" s="2">
        <v>44360</v>
      </c>
      <c r="B180" s="5">
        <v>36.912500000000001</v>
      </c>
      <c r="C180" s="5">
        <v>747.46249999999998</v>
      </c>
      <c r="D180" s="5">
        <v>14.375</v>
      </c>
      <c r="E180" s="5">
        <f>Таблица1[[#This Row],[pressure]]/760*101325</f>
        <v>99653.470805921053</v>
      </c>
      <c r="F180" s="7">
        <f>Таблица1[[#This Row],[humidity]]/100</f>
        <v>0.14374999999999999</v>
      </c>
      <c r="G180" s="5" cm="1">
        <f t="array" ref="G180">wet_bulb_temp(Таблица1[[#This Row],[temp]],Таблица1[[#This Row],[humidity_ratio]],Таблица1[[#This Row],[pressure_kpa]])</f>
        <v>18.259996847999208</v>
      </c>
      <c r="H180" s="5" cm="1">
        <f t="array" ref="H180">wet_bulb_temp_simple(Таблица1[[#This Row],[temp]],Таблица1[[#This Row],[humidity]])</f>
        <v>18.570561780091456</v>
      </c>
      <c r="I180" s="5">
        <f>IF(Таблица1[[#This Row],[wet_bulb_thermo]]+$F$1&lt;20,20,Таблица1[[#This Row],[wet_bulb_thermo]]+$F$1)</f>
        <v>28.259996847999208</v>
      </c>
      <c r="J180" s="9">
        <f>Таблица1[[#This Row],[Tcold]]+$I$1</f>
        <v>38.259996847999204</v>
      </c>
      <c r="K180" s="12" cm="1">
        <f t="array" ref="K180">evaporation(Таблица1[[#This Row],[Thot]],Таблица1[[#This Row],[Tcold]],Таблица1[[#This Row],[temp]],Таблица1[[#This Row],[humidity_ratio]],Таблица1[[#This Row],[pressure_kpa]])/$I$1</f>
        <v>1.6612567016529418E-3</v>
      </c>
      <c r="L180">
        <f>MONTH(Таблица1[[#This Row],[date]])</f>
        <v>6</v>
      </c>
      <c r="M180" t="str">
        <f>IF(AND(Таблица1[[#This Row],[month]]&gt;3, Таблица1[[#This Row],[month]]&lt;11),"SUMMER","WINTER")</f>
        <v>SUMMER</v>
      </c>
    </row>
    <row r="181" spans="1:13" x14ac:dyDescent="0.25">
      <c r="A181" s="2">
        <v>44361</v>
      </c>
      <c r="B181" s="5">
        <v>39.237499999999997</v>
      </c>
      <c r="C181" s="5">
        <v>745.66250000000002</v>
      </c>
      <c r="D181" s="5">
        <v>9.875</v>
      </c>
      <c r="E181" s="5">
        <f>Таблица1[[#This Row],[pressure]]/760*101325</f>
        <v>99413.49054276316</v>
      </c>
      <c r="F181" s="7">
        <f>Таблица1[[#This Row],[humidity]]/100</f>
        <v>9.8750000000000004E-2</v>
      </c>
      <c r="G181" s="5" cm="1">
        <f t="array" ref="G181">wet_bulb_temp(Таблица1[[#This Row],[temp]],Таблица1[[#This Row],[humidity_ratio]],Таблица1[[#This Row],[pressure_kpa]])</f>
        <v>18.011814798014107</v>
      </c>
      <c r="H181" s="5" cm="1">
        <f t="array" ref="H181">wet_bulb_temp_simple(Таблица1[[#This Row],[temp]],Таблица1[[#This Row],[humidity]])</f>
        <v>18.006810291996626</v>
      </c>
      <c r="I181" s="5">
        <f>IF(Таблица1[[#This Row],[wet_bulb_thermo]]+$F$1&lt;20,20,Таблица1[[#This Row],[wet_bulb_thermo]]+$F$1)</f>
        <v>28.011814798014107</v>
      </c>
      <c r="J181" s="9">
        <f>Таблица1[[#This Row],[Tcold]]+$I$1</f>
        <v>38.011814798014107</v>
      </c>
      <c r="K181" s="12" cm="1">
        <f t="array" ref="K181">evaporation(Таблица1[[#This Row],[Thot]],Таблица1[[#This Row],[Tcold]],Таблица1[[#This Row],[temp]],Таблица1[[#This Row],[humidity_ratio]],Таблица1[[#This Row],[pressure_kpa]])/$I$1</f>
        <v>1.7052899671692191E-3</v>
      </c>
      <c r="L181">
        <f>MONTH(Таблица1[[#This Row],[date]])</f>
        <v>6</v>
      </c>
      <c r="M181" t="str">
        <f>IF(AND(Таблица1[[#This Row],[month]]&gt;3, Таблица1[[#This Row],[month]]&lt;11),"SUMMER","WINTER")</f>
        <v>SUMMER</v>
      </c>
    </row>
    <row r="182" spans="1:13" x14ac:dyDescent="0.25">
      <c r="A182" s="2">
        <v>44362</v>
      </c>
      <c r="B182" s="5">
        <v>39.637500000000003</v>
      </c>
      <c r="C182" s="5">
        <v>744.65</v>
      </c>
      <c r="D182" s="5">
        <v>11.75</v>
      </c>
      <c r="E182" s="5">
        <f>Таблица1[[#This Row],[pressure]]/760*101325</f>
        <v>99278.50164473684</v>
      </c>
      <c r="F182" s="7">
        <f>Таблица1[[#This Row],[humidity]]/100</f>
        <v>0.11749999999999999</v>
      </c>
      <c r="G182" s="5" cm="1">
        <f t="array" ref="G182">wet_bulb_temp(Таблица1[[#This Row],[temp]],Таблица1[[#This Row],[humidity_ratio]],Таблица1[[#This Row],[pressure_kpa]])</f>
        <v>18.90668452826646</v>
      </c>
      <c r="H182" s="5" cm="1">
        <f t="array" ref="H182">wet_bulb_temp_simple(Таблица1[[#This Row],[temp]],Таблица1[[#This Row],[humidity]])</f>
        <v>19.125993287627725</v>
      </c>
      <c r="I182" s="5">
        <f>IF(Таблица1[[#This Row],[wet_bulb_thermo]]+$F$1&lt;20,20,Таблица1[[#This Row],[wet_bulb_thermo]]+$F$1)</f>
        <v>28.90668452826646</v>
      </c>
      <c r="J182" s="9">
        <f>Таблица1[[#This Row],[Tcold]]+$I$1</f>
        <v>38.90668452826646</v>
      </c>
      <c r="K182" s="12" cm="1">
        <f t="array" ref="K182">evaporation(Таблица1[[#This Row],[Thot]],Таблица1[[#This Row],[Tcold]],Таблица1[[#This Row],[temp]],Таблица1[[#This Row],[humidity_ratio]],Таблица1[[#This Row],[pressure_kpa]])/$I$1</f>
        <v>1.696562798337052E-3</v>
      </c>
      <c r="L182">
        <f>MONTH(Таблица1[[#This Row],[date]])</f>
        <v>6</v>
      </c>
      <c r="M182" t="str">
        <f>IF(AND(Таблица1[[#This Row],[month]]&gt;3, Таблица1[[#This Row],[month]]&lt;11),"SUMMER","WINTER")</f>
        <v>SUMMER</v>
      </c>
    </row>
    <row r="183" spans="1:13" x14ac:dyDescent="0.25">
      <c r="A183" s="2">
        <v>44363</v>
      </c>
      <c r="B183" s="5">
        <v>38.049999999999997</v>
      </c>
      <c r="C183" s="5">
        <v>745.47500000000002</v>
      </c>
      <c r="D183" s="5">
        <v>15.125</v>
      </c>
      <c r="E183" s="5">
        <f>Таблица1[[#This Row],[pressure]]/760*101325</f>
        <v>99388.492598684214</v>
      </c>
      <c r="F183" s="7">
        <f>Таблица1[[#This Row],[humidity]]/100</f>
        <v>0.15125</v>
      </c>
      <c r="G183" s="5" cm="1">
        <f t="array" ref="G183">wet_bulb_temp(Таблица1[[#This Row],[temp]],Таблица1[[#This Row],[humidity_ratio]],Таблица1[[#This Row],[pressure_kpa]])</f>
        <v>19.169979231976452</v>
      </c>
      <c r="H183" s="5" cm="1">
        <f t="array" ref="H183">wet_bulb_temp_simple(Таблица1[[#This Row],[temp]],Таблица1[[#This Row],[humidity]])</f>
        <v>19.583264277261385</v>
      </c>
      <c r="I183" s="5">
        <f>IF(Таблица1[[#This Row],[wet_bulb_thermo]]+$F$1&lt;20,20,Таблица1[[#This Row],[wet_bulb_thermo]]+$F$1)</f>
        <v>29.169979231976452</v>
      </c>
      <c r="J183" s="9">
        <f>Таблица1[[#This Row],[Tcold]]+$I$1</f>
        <v>39.169979231976455</v>
      </c>
      <c r="K183" s="12" cm="1">
        <f t="array" ref="K183">evaporation(Таблица1[[#This Row],[Thot]],Таблица1[[#This Row],[Tcold]],Таблица1[[#This Row],[temp]],Таблица1[[#This Row],[humidity_ratio]],Таблица1[[#This Row],[pressure_kpa]])/$I$1</f>
        <v>1.6662658523183156E-3</v>
      </c>
      <c r="L183">
        <f>MONTH(Таблица1[[#This Row],[date]])</f>
        <v>6</v>
      </c>
      <c r="M183" t="str">
        <f>IF(AND(Таблица1[[#This Row],[month]]&gt;3, Таблица1[[#This Row],[month]]&lt;11),"SUMMER","WINTER")</f>
        <v>SUMMER</v>
      </c>
    </row>
    <row r="184" spans="1:13" x14ac:dyDescent="0.25">
      <c r="A184" s="2">
        <v>44364</v>
      </c>
      <c r="B184" s="5">
        <v>36.625</v>
      </c>
      <c r="C184" s="5">
        <v>746.3125</v>
      </c>
      <c r="D184" s="5">
        <v>16.25</v>
      </c>
      <c r="E184" s="5">
        <f>Таблица1[[#This Row],[pressure]]/760*101325</f>
        <v>99500.15008223684</v>
      </c>
      <c r="F184" s="7">
        <f>Таблица1[[#This Row],[humidity]]/100</f>
        <v>0.16250000000000001</v>
      </c>
      <c r="G184" s="5" cm="1">
        <f t="array" ref="G184">wet_bulb_temp(Таблица1[[#This Row],[temp]],Таблица1[[#This Row],[humidity_ratio]],Таблица1[[#This Row],[pressure_kpa]])</f>
        <v>18.687299387489549</v>
      </c>
      <c r="H184" s="5" cm="1">
        <f t="array" ref="H184">wet_bulb_temp_simple(Таблица1[[#This Row],[temp]],Таблица1[[#This Row],[humidity]])</f>
        <v>19.099432212420684</v>
      </c>
      <c r="I184" s="5">
        <f>IF(Таблица1[[#This Row],[wet_bulb_thermo]]+$F$1&lt;20,20,Таблица1[[#This Row],[wet_bulb_thermo]]+$F$1)</f>
        <v>28.687299387489549</v>
      </c>
      <c r="J184" s="9">
        <f>Таблица1[[#This Row],[Tcold]]+$I$1</f>
        <v>38.687299387489546</v>
      </c>
      <c r="K184" s="12" cm="1">
        <f t="array" ref="K184">evaporation(Таблица1[[#This Row],[Thot]],Таблица1[[#This Row],[Tcold]],Таблица1[[#This Row],[temp]],Таблица1[[#This Row],[humidity_ratio]],Таблица1[[#This Row],[pressure_kpa]])/$I$1</f>
        <v>1.6499247152352784E-3</v>
      </c>
      <c r="L184">
        <f>MONTH(Таблица1[[#This Row],[date]])</f>
        <v>6</v>
      </c>
      <c r="M184" t="str">
        <f>IF(AND(Таблица1[[#This Row],[month]]&gt;3, Таблица1[[#This Row],[month]]&lt;11),"SUMMER","WINTER")</f>
        <v>SUMMER</v>
      </c>
    </row>
    <row r="185" spans="1:13" x14ac:dyDescent="0.25">
      <c r="A185" s="2">
        <v>44365</v>
      </c>
      <c r="B185" s="5">
        <v>36.0625</v>
      </c>
      <c r="C185" s="5">
        <v>746.41250000000002</v>
      </c>
      <c r="D185" s="5">
        <v>19.25</v>
      </c>
      <c r="E185" s="5">
        <f>Таблица1[[#This Row],[pressure]]/760*101325</f>
        <v>99513.482319078947</v>
      </c>
      <c r="F185" s="7">
        <f>Таблица1[[#This Row],[humidity]]/100</f>
        <v>0.1925</v>
      </c>
      <c r="G185" s="5" cm="1">
        <f t="array" ref="G185">wet_bulb_temp(Таблица1[[#This Row],[temp]],Таблица1[[#This Row],[humidity_ratio]],Таблица1[[#This Row],[pressure_kpa]])</f>
        <v>19.24897399217091</v>
      </c>
      <c r="H185" s="5" cm="1">
        <f t="array" ref="H185">wet_bulb_temp_simple(Таблица1[[#This Row],[temp]],Таблица1[[#This Row],[humidity]])</f>
        <v>19.777739884453585</v>
      </c>
      <c r="I185" s="5">
        <f>IF(Таблица1[[#This Row],[wet_bulb_thermo]]+$F$1&lt;20,20,Таблица1[[#This Row],[wet_bulb_thermo]]+$F$1)</f>
        <v>29.24897399217091</v>
      </c>
      <c r="J185" s="9">
        <f>Таблица1[[#This Row],[Tcold]]+$I$1</f>
        <v>39.24897399217091</v>
      </c>
      <c r="K185" s="12" cm="1">
        <f t="array" ref="K185">evaporation(Таблица1[[#This Row],[Thot]],Таблица1[[#This Row],[Tcold]],Таблица1[[#This Row],[temp]],Таблица1[[#This Row],[humidity_ratio]],Таблица1[[#This Row],[pressure_kpa]])/$I$1</f>
        <v>1.6326327930794293E-3</v>
      </c>
      <c r="L185">
        <f>MONTH(Таблица1[[#This Row],[date]])</f>
        <v>6</v>
      </c>
      <c r="M185" t="str">
        <f>IF(AND(Таблица1[[#This Row],[month]]&gt;3, Таблица1[[#This Row],[month]]&lt;11),"SUMMER","WINTER")</f>
        <v>SUMMER</v>
      </c>
    </row>
    <row r="186" spans="1:13" x14ac:dyDescent="0.25">
      <c r="A186" s="2">
        <v>44366</v>
      </c>
      <c r="B186" s="5">
        <v>37.087499999999999</v>
      </c>
      <c r="C186" s="5">
        <v>747.35</v>
      </c>
      <c r="D186" s="5">
        <v>19</v>
      </c>
      <c r="E186" s="5">
        <f>Таблица1[[#This Row],[pressure]]/760*101325</f>
        <v>99638.472039473694</v>
      </c>
      <c r="F186" s="7">
        <f>Таблица1[[#This Row],[humidity]]/100</f>
        <v>0.19</v>
      </c>
      <c r="G186" s="5" cm="1">
        <f t="array" ref="G186">wet_bulb_temp(Таблица1[[#This Row],[temp]],Таблица1[[#This Row],[humidity_ratio]],Таблица1[[#This Row],[pressure_kpa]])</f>
        <v>19.802403973228834</v>
      </c>
      <c r="H186" s="5" cm="1">
        <f t="array" ref="H186">wet_bulb_temp_simple(Таблица1[[#This Row],[temp]],Таблица1[[#This Row],[humidity]])</f>
        <v>20.382515800931632</v>
      </c>
      <c r="I186" s="5">
        <f>IF(Таблица1[[#This Row],[wet_bulb_thermo]]+$F$1&lt;20,20,Таблица1[[#This Row],[wet_bulb_thermo]]+$F$1)</f>
        <v>29.802403973228834</v>
      </c>
      <c r="J186" s="9">
        <f>Таблица1[[#This Row],[Tcold]]+$I$1</f>
        <v>39.802403973228834</v>
      </c>
      <c r="K186" s="12" cm="1">
        <f t="array" ref="K186">evaporation(Таблица1[[#This Row],[Thot]],Таблица1[[#This Row],[Tcold]],Таблица1[[#This Row],[temp]],Таблица1[[#This Row],[humidity_ratio]],Таблица1[[#This Row],[pressure_kpa]])/$I$1</f>
        <v>1.6415212107307371E-3</v>
      </c>
      <c r="L186">
        <f>MONTH(Таблица1[[#This Row],[date]])</f>
        <v>6</v>
      </c>
      <c r="M186" t="str">
        <f>IF(AND(Таблица1[[#This Row],[month]]&gt;3, Таблица1[[#This Row],[month]]&lt;11),"SUMMER","WINTER")</f>
        <v>SUMMER</v>
      </c>
    </row>
    <row r="187" spans="1:13" x14ac:dyDescent="0.25">
      <c r="A187" s="2">
        <v>44367</v>
      </c>
      <c r="B187" s="5">
        <v>38.299999999999997</v>
      </c>
      <c r="C187" s="5">
        <v>748.42499999999995</v>
      </c>
      <c r="D187" s="5">
        <v>14.375</v>
      </c>
      <c r="E187" s="5">
        <f>Таблица1[[#This Row],[pressure]]/760*101325</f>
        <v>99781.793585526306</v>
      </c>
      <c r="F187" s="7">
        <f>Таблица1[[#This Row],[humidity]]/100</f>
        <v>0.14374999999999999</v>
      </c>
      <c r="G187" s="5" cm="1">
        <f t="array" ref="G187">wet_bulb_temp(Таблица1[[#This Row],[temp]],Таблица1[[#This Row],[humidity_ratio]],Таблица1[[#This Row],[pressure_kpa]])</f>
        <v>19.047149858385815</v>
      </c>
      <c r="H187" s="5" cm="1">
        <f t="array" ref="H187">wet_bulb_temp_simple(Таблица1[[#This Row],[temp]],Таблица1[[#This Row],[humidity]])</f>
        <v>19.440469986434362</v>
      </c>
      <c r="I187" s="5">
        <f>IF(Таблица1[[#This Row],[wet_bulb_thermo]]+$F$1&lt;20,20,Таблица1[[#This Row],[wet_bulb_thermo]]+$F$1)</f>
        <v>29.047149858385815</v>
      </c>
      <c r="J187" s="9">
        <f>Таблица1[[#This Row],[Tcold]]+$I$1</f>
        <v>39.047149858385815</v>
      </c>
      <c r="K187" s="12" cm="1">
        <f t="array" ref="K187">evaporation(Таблица1[[#This Row],[Thot]],Таблица1[[#This Row],[Tcold]],Таблица1[[#This Row],[temp]],Таблица1[[#This Row],[humidity_ratio]],Таблица1[[#This Row],[pressure_kpa]])/$I$1</f>
        <v>1.6721917321370424E-3</v>
      </c>
      <c r="L187">
        <f>MONTH(Таблица1[[#This Row],[date]])</f>
        <v>6</v>
      </c>
      <c r="M187" t="str">
        <f>IF(AND(Таблица1[[#This Row],[month]]&gt;3, Таблица1[[#This Row],[month]]&lt;11),"SUMMER","WINTER")</f>
        <v>SUMMER</v>
      </c>
    </row>
    <row r="188" spans="1:13" x14ac:dyDescent="0.25">
      <c r="A188" s="2">
        <v>44368</v>
      </c>
      <c r="B188" s="5">
        <v>39.35</v>
      </c>
      <c r="C188" s="5">
        <v>748.58749999999998</v>
      </c>
      <c r="D188" s="5">
        <v>10.75</v>
      </c>
      <c r="E188" s="5">
        <f>Таблица1[[#This Row],[pressure]]/760*101325</f>
        <v>99803.458470394733</v>
      </c>
      <c r="F188" s="7">
        <f>Таблица1[[#This Row],[humidity]]/100</f>
        <v>0.1075</v>
      </c>
      <c r="G188" s="5" cm="1">
        <f t="array" ref="G188">wet_bulb_temp(Таблица1[[#This Row],[temp]],Таблица1[[#This Row],[humidity_ratio]],Таблица1[[#This Row],[pressure_kpa]])</f>
        <v>18.372065124821013</v>
      </c>
      <c r="H188" s="5" cm="1">
        <f t="array" ref="H188">wet_bulb_temp_simple(Таблица1[[#This Row],[temp]],Таблица1[[#This Row],[humidity]])</f>
        <v>18.490572385134328</v>
      </c>
      <c r="I188" s="5">
        <f>IF(Таблица1[[#This Row],[wet_bulb_thermo]]+$F$1&lt;20,20,Таблица1[[#This Row],[wet_bulb_thermo]]+$F$1)</f>
        <v>28.372065124821013</v>
      </c>
      <c r="J188" s="9">
        <f>Таблица1[[#This Row],[Tcold]]+$I$1</f>
        <v>38.372065124821013</v>
      </c>
      <c r="K188" s="12" cm="1">
        <f t="array" ref="K188">evaporation(Таблица1[[#This Row],[Thot]],Таблица1[[#This Row],[Tcold]],Таблица1[[#This Row],[temp]],Таблица1[[#This Row],[humidity_ratio]],Таблица1[[#This Row],[pressure_kpa]])/$I$1</f>
        <v>1.7009585710256576E-3</v>
      </c>
      <c r="L188">
        <f>MONTH(Таблица1[[#This Row],[date]])</f>
        <v>6</v>
      </c>
      <c r="M188" t="str">
        <f>IF(AND(Таблица1[[#This Row],[month]]&gt;3, Таблица1[[#This Row],[month]]&lt;11),"SUMMER","WINTER")</f>
        <v>SUMMER</v>
      </c>
    </row>
    <row r="189" spans="1:13" x14ac:dyDescent="0.25">
      <c r="A189" s="2">
        <v>44369</v>
      </c>
      <c r="B189" s="5">
        <v>40.412500000000001</v>
      </c>
      <c r="C189" s="5">
        <v>747.75</v>
      </c>
      <c r="D189" s="5">
        <v>11.25</v>
      </c>
      <c r="E189" s="5">
        <f>Таблица1[[#This Row],[pressure]]/760*101325</f>
        <v>99691.800986842107</v>
      </c>
      <c r="F189" s="7">
        <f>Таблица1[[#This Row],[humidity]]/100</f>
        <v>0.1125</v>
      </c>
      <c r="G189" s="5" cm="1">
        <f t="array" ref="G189">wet_bulb_temp(Таблица1[[#This Row],[temp]],Таблица1[[#This Row],[humidity_ratio]],Таблица1[[#This Row],[pressure_kpa]])</f>
        <v>19.123400481639095</v>
      </c>
      <c r="H189" s="5" cm="1">
        <f t="array" ref="H189">wet_bulb_temp_simple(Таблица1[[#This Row],[temp]],Таблица1[[#This Row],[humidity]])</f>
        <v>19.353541241774732</v>
      </c>
      <c r="I189" s="5">
        <f>IF(Таблица1[[#This Row],[wet_bulb_thermo]]+$F$1&lt;20,20,Таблица1[[#This Row],[wet_bulb_thermo]]+$F$1)</f>
        <v>29.123400481639095</v>
      </c>
      <c r="J189" s="9">
        <f>Таблица1[[#This Row],[Tcold]]+$I$1</f>
        <v>39.123400481639095</v>
      </c>
      <c r="K189" s="12" cm="1">
        <f t="array" ref="K189">evaporation(Таблица1[[#This Row],[Thot]],Таблица1[[#This Row],[Tcold]],Таблица1[[#This Row],[temp]],Таблица1[[#This Row],[humidity_ratio]],Таблица1[[#This Row],[pressure_kpa]])/$I$1</f>
        <v>1.7057682250295717E-3</v>
      </c>
      <c r="L189">
        <f>MONTH(Таблица1[[#This Row],[date]])</f>
        <v>6</v>
      </c>
      <c r="M189" t="str">
        <f>IF(AND(Таблица1[[#This Row],[month]]&gt;3, Таблица1[[#This Row],[month]]&lt;11),"SUMMER","WINTER")</f>
        <v>SUMMER</v>
      </c>
    </row>
    <row r="190" spans="1:13" x14ac:dyDescent="0.25">
      <c r="A190" s="2">
        <v>44370</v>
      </c>
      <c r="B190" s="5">
        <v>40.475000000000001</v>
      </c>
      <c r="C190" s="5">
        <v>748.52499999999998</v>
      </c>
      <c r="D190" s="5">
        <v>10.625</v>
      </c>
      <c r="E190" s="5">
        <f>Таблица1[[#This Row],[pressure]]/760*101325</f>
        <v>99795.125822368427</v>
      </c>
      <c r="F190" s="7">
        <f>Таблица1[[#This Row],[humidity]]/100</f>
        <v>0.10625</v>
      </c>
      <c r="G190" s="5" cm="1">
        <f t="array" ref="G190">wet_bulb_temp(Таблица1[[#This Row],[temp]],Таблица1[[#This Row],[humidity_ratio]],Таблица1[[#This Row],[pressure_kpa]])</f>
        <v>18.919883705668219</v>
      </c>
      <c r="H190" s="5" cm="1">
        <f t="array" ref="H190">wet_bulb_temp_simple(Таблица1[[#This Row],[temp]],Таблица1[[#This Row],[humidity]])</f>
        <v>19.089314094858004</v>
      </c>
      <c r="I190" s="5">
        <f>IF(Таблица1[[#This Row],[wet_bulb_thermo]]+$F$1&lt;20,20,Таблица1[[#This Row],[wet_bulb_thermo]]+$F$1)</f>
        <v>28.919883705668219</v>
      </c>
      <c r="J190" s="9">
        <f>Таблица1[[#This Row],[Tcold]]+$I$1</f>
        <v>38.919883705668219</v>
      </c>
      <c r="K190" s="12" cm="1">
        <f t="array" ref="K190">evaporation(Таблица1[[#This Row],[Thot]],Таблица1[[#This Row],[Tcold]],Таблица1[[#This Row],[temp]],Таблица1[[#This Row],[humidity_ratio]],Таблица1[[#This Row],[pressure_kpa]])/$I$1</f>
        <v>1.7103416360331198E-3</v>
      </c>
      <c r="L190">
        <f>MONTH(Таблица1[[#This Row],[date]])</f>
        <v>6</v>
      </c>
      <c r="M190" t="str">
        <f>IF(AND(Таблица1[[#This Row],[month]]&gt;3, Таблица1[[#This Row],[month]]&lt;11),"SUMMER","WINTER")</f>
        <v>SUMMER</v>
      </c>
    </row>
    <row r="191" spans="1:13" x14ac:dyDescent="0.25">
      <c r="A191" s="2">
        <v>44371</v>
      </c>
      <c r="B191" s="5">
        <v>39.087499999999999</v>
      </c>
      <c r="C191" s="5">
        <v>747.91250000000002</v>
      </c>
      <c r="D191" s="5">
        <v>14.375</v>
      </c>
      <c r="E191" s="5">
        <f>Таблица1[[#This Row],[pressure]]/760*101325</f>
        <v>99713.465871710534</v>
      </c>
      <c r="F191" s="7">
        <f>Таблица1[[#This Row],[humidity]]/100</f>
        <v>0.14374999999999999</v>
      </c>
      <c r="G191" s="5" cm="1">
        <f t="array" ref="G191">wet_bulb_temp(Таблица1[[#This Row],[temp]],Таблица1[[#This Row],[humidity_ratio]],Таблица1[[#This Row],[pressure_kpa]])</f>
        <v>19.500150078252446</v>
      </c>
      <c r="H191" s="5" cm="1">
        <f t="array" ref="H191">wet_bulb_temp_simple(Таблица1[[#This Row],[temp]],Таблица1[[#This Row],[humidity]])</f>
        <v>19.934189820827637</v>
      </c>
      <c r="I191" s="5">
        <f>IF(Таблица1[[#This Row],[wet_bulb_thermo]]+$F$1&lt;20,20,Таблица1[[#This Row],[wet_bulb_thermo]]+$F$1)</f>
        <v>29.500150078252446</v>
      </c>
      <c r="J191" s="9">
        <f>Таблица1[[#This Row],[Tcold]]+$I$1</f>
        <v>39.500150078252446</v>
      </c>
      <c r="K191" s="12" cm="1">
        <f t="array" ref="K191">evaporation(Таблица1[[#This Row],[Thot]],Таблица1[[#This Row],[Tcold]],Таблица1[[#This Row],[temp]],Таблица1[[#This Row],[humidity_ratio]],Таблица1[[#This Row],[pressure_kpa]])/$I$1</f>
        <v>1.6780129353250787E-3</v>
      </c>
      <c r="L191">
        <f>MONTH(Таблица1[[#This Row],[date]])</f>
        <v>6</v>
      </c>
      <c r="M191" t="str">
        <f>IF(AND(Таблица1[[#This Row],[month]]&gt;3, Таблица1[[#This Row],[month]]&lt;11),"SUMMER","WINTER")</f>
        <v>SUMMER</v>
      </c>
    </row>
    <row r="192" spans="1:13" x14ac:dyDescent="0.25">
      <c r="A192" s="2">
        <v>44372</v>
      </c>
      <c r="B192" s="5">
        <v>39.774999999999999</v>
      </c>
      <c r="C192" s="5">
        <v>746.88750000000005</v>
      </c>
      <c r="D192" s="5">
        <v>13.875</v>
      </c>
      <c r="E192" s="5">
        <f>Таблица1[[#This Row],[pressure]]/760*101325</f>
        <v>99576.810444078961</v>
      </c>
      <c r="F192" s="7">
        <f>Таблица1[[#This Row],[humidity]]/100</f>
        <v>0.13875000000000001</v>
      </c>
      <c r="G192" s="5" cm="1">
        <f t="array" ref="G192">wet_bulb_temp(Таблица1[[#This Row],[temp]],Таблица1[[#This Row],[humidity_ratio]],Таблица1[[#This Row],[pressure_kpa]])</f>
        <v>19.72441534746244</v>
      </c>
      <c r="H192" s="5" cm="1">
        <f t="array" ref="H192">wet_bulb_temp_simple(Таблица1[[#This Row],[temp]],Таблица1[[#This Row],[humidity]])</f>
        <v>20.152455487717628</v>
      </c>
      <c r="I192" s="5">
        <f>IF(Таблица1[[#This Row],[wet_bulb_thermo]]+$F$1&lt;20,20,Таблица1[[#This Row],[wet_bulb_thermo]]+$F$1)</f>
        <v>29.72441534746244</v>
      </c>
      <c r="J192" s="9">
        <f>Таблица1[[#This Row],[Tcold]]+$I$1</f>
        <v>39.72441534746244</v>
      </c>
      <c r="K192" s="12" cm="1">
        <f t="array" ref="K192">evaporation(Таблица1[[#This Row],[Thot]],Таблица1[[#This Row],[Tcold]],Таблица1[[#This Row],[temp]],Таблица1[[#This Row],[humidity_ratio]],Таблица1[[#This Row],[pressure_kpa]])/$I$1</f>
        <v>1.6855737623050321E-3</v>
      </c>
      <c r="L192">
        <f>MONTH(Таблица1[[#This Row],[date]])</f>
        <v>6</v>
      </c>
      <c r="M192" t="str">
        <f>IF(AND(Таблица1[[#This Row],[month]]&gt;3, Таблица1[[#This Row],[month]]&lt;11),"SUMMER","WINTER")</f>
        <v>SUMMER</v>
      </c>
    </row>
    <row r="193" spans="1:13" x14ac:dyDescent="0.25">
      <c r="A193" s="2">
        <v>44373</v>
      </c>
      <c r="B193" s="5">
        <v>40.137500000000003</v>
      </c>
      <c r="C193" s="5">
        <v>745.875</v>
      </c>
      <c r="D193" s="5">
        <v>12.875</v>
      </c>
      <c r="E193" s="5">
        <f>Таблица1[[#This Row],[pressure]]/760*101325</f>
        <v>99441.821546052626</v>
      </c>
      <c r="F193" s="7">
        <f>Таблица1[[#This Row],[humidity]]/100</f>
        <v>0.12875</v>
      </c>
      <c r="G193" s="5" cm="1">
        <f t="array" ref="G193">wet_bulb_temp(Таблица1[[#This Row],[temp]],Таблица1[[#This Row],[humidity_ratio]],Таблица1[[#This Row],[pressure_kpa]])</f>
        <v>19.578141261902541</v>
      </c>
      <c r="H193" s="5" cm="1">
        <f t="array" ref="H193">wet_bulb_temp_simple(Таблица1[[#This Row],[temp]],Таблица1[[#This Row],[humidity]])</f>
        <v>19.937855030116999</v>
      </c>
      <c r="I193" s="5">
        <f>IF(Таблица1[[#This Row],[wet_bulb_thermo]]+$F$1&lt;20,20,Таблица1[[#This Row],[wet_bulb_thermo]]+$F$1)</f>
        <v>29.578141261902541</v>
      </c>
      <c r="J193" s="9">
        <f>Таблица1[[#This Row],[Tcold]]+$I$1</f>
        <v>39.578141261902545</v>
      </c>
      <c r="K193" s="12" cm="1">
        <f t="array" ref="K193">evaporation(Таблица1[[#This Row],[Thot]],Таблица1[[#This Row],[Tcold]],Таблица1[[#This Row],[temp]],Таблица1[[#This Row],[humidity_ratio]],Таблица1[[#This Row],[pressure_kpa]])/$I$1</f>
        <v>1.6937038360027104E-3</v>
      </c>
      <c r="L193">
        <f>MONTH(Таблица1[[#This Row],[date]])</f>
        <v>6</v>
      </c>
      <c r="M193" t="str">
        <f>IF(AND(Таблица1[[#This Row],[month]]&gt;3, Таблица1[[#This Row],[month]]&lt;11),"SUMMER","WINTER")</f>
        <v>SUMMER</v>
      </c>
    </row>
    <row r="194" spans="1:13" x14ac:dyDescent="0.25">
      <c r="A194" s="2">
        <v>44374</v>
      </c>
      <c r="B194" s="5">
        <v>39.737499999999997</v>
      </c>
      <c r="C194" s="5">
        <v>747.22500000000002</v>
      </c>
      <c r="D194" s="5">
        <v>17</v>
      </c>
      <c r="E194" s="5">
        <f>Таблица1[[#This Row],[pressure]]/760*101325</f>
        <v>99621.806743421053</v>
      </c>
      <c r="F194" s="7">
        <f>Таблица1[[#This Row],[humidity]]/100</f>
        <v>0.17</v>
      </c>
      <c r="G194" s="5" cm="1">
        <f t="array" ref="G194">wet_bulb_temp(Таблица1[[#This Row],[temp]],Таблица1[[#This Row],[humidity_ratio]],Таблица1[[#This Row],[pressure_kpa]])</f>
        <v>20.776013390019109</v>
      </c>
      <c r="H194" s="5" cm="1">
        <f t="array" ref="H194">wet_bulb_temp_simple(Таблица1[[#This Row],[temp]],Таблица1[[#This Row],[humidity]])</f>
        <v>21.405052049605594</v>
      </c>
      <c r="I194" s="5">
        <f>IF(Таблица1[[#This Row],[wet_bulb_thermo]]+$F$1&lt;20,20,Таблица1[[#This Row],[wet_bulb_thermo]]+$F$1)</f>
        <v>30.776013390019109</v>
      </c>
      <c r="J194" s="9">
        <f>Таблица1[[#This Row],[Tcold]]+$I$1</f>
        <v>40.776013390019109</v>
      </c>
      <c r="K194" s="12" cm="1">
        <f t="array" ref="K194">evaporation(Таблица1[[#This Row],[Thot]],Таблица1[[#This Row],[Tcold]],Таблица1[[#This Row],[temp]],Таблица1[[#This Row],[humidity_ratio]],Таблица1[[#This Row],[pressure_kpa]])/$I$1</f>
        <v>1.6692777672001756E-3</v>
      </c>
      <c r="L194">
        <f>MONTH(Таблица1[[#This Row],[date]])</f>
        <v>6</v>
      </c>
      <c r="M194" t="str">
        <f>IF(AND(Таблица1[[#This Row],[month]]&gt;3, Таблица1[[#This Row],[month]]&lt;11),"SUMMER","WINTER")</f>
        <v>SUMMER</v>
      </c>
    </row>
    <row r="195" spans="1:13" x14ac:dyDescent="0.25">
      <c r="A195" s="2">
        <v>44375</v>
      </c>
      <c r="B195" s="5">
        <v>38.762500000000003</v>
      </c>
      <c r="C195" s="5">
        <v>749</v>
      </c>
      <c r="D195" s="5">
        <v>36.125</v>
      </c>
      <c r="E195" s="5">
        <f>Таблица1[[#This Row],[pressure]]/760*101325</f>
        <v>99858.453947368427</v>
      </c>
      <c r="F195" s="7">
        <f>Таблица1[[#This Row],[humidity]]/100</f>
        <v>0.36125000000000002</v>
      </c>
      <c r="G195" s="5" cm="1">
        <f t="array" ref="G195">wet_bulb_temp(Таблица1[[#This Row],[temp]],Таблица1[[#This Row],[humidity_ratio]],Таблица1[[#This Row],[pressure_kpa]])</f>
        <v>25.817397253551281</v>
      </c>
      <c r="H195" s="5" cm="1">
        <f t="array" ref="H195">wet_bulb_temp_simple(Таблица1[[#This Row],[temp]],Таблица1[[#This Row],[humidity]])</f>
        <v>26.6178049218328</v>
      </c>
      <c r="I195" s="5">
        <f>IF(Таблица1[[#This Row],[wet_bulb_thermo]]+$F$1&lt;20,20,Таблица1[[#This Row],[wet_bulb_thermo]]+$F$1)</f>
        <v>35.817397253551277</v>
      </c>
      <c r="J195" s="9">
        <f>Таблица1[[#This Row],[Tcold]]+$I$1</f>
        <v>45.817397253551277</v>
      </c>
      <c r="K195" s="12" cm="1">
        <f t="array" ref="K195">evaporation(Таблица1[[#This Row],[Thot]],Таблица1[[#This Row],[Tcold]],Таблица1[[#This Row],[temp]],Таблица1[[#This Row],[humidity_ratio]],Таблица1[[#This Row],[pressure_kpa]])/$I$1</f>
        <v>1.6013640751024662E-3</v>
      </c>
      <c r="L195">
        <f>MONTH(Таблица1[[#This Row],[date]])</f>
        <v>6</v>
      </c>
      <c r="M195" t="str">
        <f>IF(AND(Таблица1[[#This Row],[month]]&gt;3, Таблица1[[#This Row],[month]]&lt;11),"SUMMER","WINTER")</f>
        <v>SUMMER</v>
      </c>
    </row>
    <row r="196" spans="1:13" x14ac:dyDescent="0.25">
      <c r="A196" s="2">
        <v>44376</v>
      </c>
      <c r="B196" s="5">
        <v>39.137500000000003</v>
      </c>
      <c r="C196" s="5">
        <v>749.15</v>
      </c>
      <c r="D196" s="5">
        <v>26.25</v>
      </c>
      <c r="E196" s="5">
        <f>Таблица1[[#This Row],[pressure]]/760*101325</f>
        <v>99878.452302631573</v>
      </c>
      <c r="F196" s="7">
        <f>Таблица1[[#This Row],[humidity]]/100</f>
        <v>0.26250000000000001</v>
      </c>
      <c r="G196" s="5" cm="1">
        <f t="array" ref="G196">wet_bulb_temp(Таблица1[[#This Row],[temp]],Таблица1[[#This Row],[humidity_ratio]],Таблица1[[#This Row],[pressure_kpa]])</f>
        <v>23.305167192879498</v>
      </c>
      <c r="H196" s="5" cm="1">
        <f t="array" ref="H196">wet_bulb_temp_simple(Таблица1[[#This Row],[temp]],Таблица1[[#This Row],[humidity]])</f>
        <v>24.16585306675141</v>
      </c>
      <c r="I196" s="5">
        <f>IF(Таблица1[[#This Row],[wet_bulb_thermo]]+$F$1&lt;20,20,Таблица1[[#This Row],[wet_bulb_thermo]]+$F$1)</f>
        <v>33.305167192879495</v>
      </c>
      <c r="J196" s="9">
        <f>Таблица1[[#This Row],[Tcold]]+$I$1</f>
        <v>43.305167192879495</v>
      </c>
      <c r="K196" s="12" cm="1">
        <f t="array" ref="K196">evaporation(Таблица1[[#This Row],[Thot]],Таблица1[[#This Row],[Tcold]],Таблица1[[#This Row],[temp]],Таблица1[[#This Row],[humidity_ratio]],Таблица1[[#This Row],[pressure_kpa]])/$I$1</f>
        <v>1.6291707047749939E-3</v>
      </c>
      <c r="L196">
        <f>MONTH(Таблица1[[#This Row],[date]])</f>
        <v>6</v>
      </c>
      <c r="M196" t="str">
        <f>IF(AND(Таблица1[[#This Row],[month]]&gt;3, Таблица1[[#This Row],[month]]&lt;11),"SUMMER","WINTER")</f>
        <v>SUMMER</v>
      </c>
    </row>
    <row r="197" spans="1:13" x14ac:dyDescent="0.25">
      <c r="A197" s="2">
        <v>44377</v>
      </c>
      <c r="B197" s="5">
        <v>40</v>
      </c>
      <c r="C197" s="5">
        <v>748.91250000000002</v>
      </c>
      <c r="D197" s="5">
        <v>30</v>
      </c>
      <c r="E197" s="5">
        <f>Таблица1[[#This Row],[pressure]]/760*101325</f>
        <v>99846.788240131573</v>
      </c>
      <c r="F197" s="7">
        <f>Таблица1[[#This Row],[humidity]]/100</f>
        <v>0.3</v>
      </c>
      <c r="G197" s="5" cm="1">
        <f t="array" ref="G197">wet_bulb_temp(Таблица1[[#This Row],[temp]],Таблица1[[#This Row],[humidity_ratio]],Таблица1[[#This Row],[pressure_kpa]])</f>
        <v>25.017180387070262</v>
      </c>
      <c r="H197" s="5" cm="1">
        <f t="array" ref="H197">wet_bulb_temp_simple(Таблица1[[#This Row],[temp]],Таблица1[[#This Row],[humidity]])</f>
        <v>25.919399264049417</v>
      </c>
      <c r="I197" s="5">
        <f>IF(Таблица1[[#This Row],[wet_bulb_thermo]]+$F$1&lt;20,20,Таблица1[[#This Row],[wet_bulb_thermo]]+$F$1)</f>
        <v>35.017180387070262</v>
      </c>
      <c r="J197" s="9">
        <f>Таблица1[[#This Row],[Tcold]]+$I$1</f>
        <v>45.017180387070262</v>
      </c>
      <c r="K197" s="12" cm="1">
        <f t="array" ref="K197">evaporation(Таблица1[[#This Row],[Thot]],Таблица1[[#This Row],[Tcold]],Таблица1[[#This Row],[temp]],Таблица1[[#This Row],[humidity_ratio]],Таблица1[[#This Row],[pressure_kpa]])/$I$1</f>
        <v>1.6234381420731595E-3</v>
      </c>
      <c r="L197">
        <f>MONTH(Таблица1[[#This Row],[date]])</f>
        <v>6</v>
      </c>
      <c r="M197" t="str">
        <f>IF(AND(Таблица1[[#This Row],[month]]&gt;3, Таблица1[[#This Row],[month]]&lt;11),"SUMMER","WINTER")</f>
        <v>SUMMER</v>
      </c>
    </row>
    <row r="198" spans="1:13" x14ac:dyDescent="0.25">
      <c r="A198" s="2">
        <v>44378</v>
      </c>
      <c r="B198" s="5">
        <v>40.375</v>
      </c>
      <c r="C198" s="5">
        <v>747.77499999999998</v>
      </c>
      <c r="D198" s="5">
        <v>29.5</v>
      </c>
      <c r="E198" s="5">
        <f>Таблица1[[#This Row],[pressure]]/760*101325</f>
        <v>99695.134046052626</v>
      </c>
      <c r="F198" s="7">
        <f>Таблица1[[#This Row],[humidity]]/100</f>
        <v>0.29499999999999998</v>
      </c>
      <c r="G198" s="5" cm="1">
        <f t="array" ref="G198">wet_bulb_temp(Таблица1[[#This Row],[temp]],Таблица1[[#This Row],[humidity_ratio]],Таблица1[[#This Row],[pressure_kpa]])</f>
        <v>25.149714743009625</v>
      </c>
      <c r="H198" s="5" cm="1">
        <f t="array" ref="H198">wet_bulb_temp_simple(Таблица1[[#This Row],[temp]],Таблица1[[#This Row],[humidity]])</f>
        <v>26.05612121015</v>
      </c>
      <c r="I198" s="5">
        <f>IF(Таблица1[[#This Row],[wet_bulb_thermo]]+$F$1&lt;20,20,Таблица1[[#This Row],[wet_bulb_thermo]]+$F$1)</f>
        <v>35.149714743009625</v>
      </c>
      <c r="J198" s="9">
        <f>Таблица1[[#This Row],[Tcold]]+$I$1</f>
        <v>45.149714743009625</v>
      </c>
      <c r="K198" s="12" cm="1">
        <f t="array" ref="K198">evaporation(Таблица1[[#This Row],[Thot]],Таблица1[[#This Row],[Tcold]],Таблица1[[#This Row],[temp]],Таблица1[[#This Row],[humidity_ratio]],Таблица1[[#This Row],[pressure_kpa]])/$I$1</f>
        <v>1.627026006872844E-3</v>
      </c>
      <c r="L198">
        <f>MONTH(Таблица1[[#This Row],[date]])</f>
        <v>7</v>
      </c>
      <c r="M198" t="str">
        <f>IF(AND(Таблица1[[#This Row],[month]]&gt;3, Таблица1[[#This Row],[month]]&lt;11),"SUMMER","WINTER")</f>
        <v>SUMMER</v>
      </c>
    </row>
    <row r="199" spans="1:13" x14ac:dyDescent="0.25">
      <c r="A199" s="2">
        <v>44379</v>
      </c>
      <c r="B199" s="5">
        <v>43.262500000000003</v>
      </c>
      <c r="C199" s="5">
        <v>746.28750000000002</v>
      </c>
      <c r="D199" s="5">
        <v>9.75</v>
      </c>
      <c r="E199" s="5">
        <f>Таблица1[[#This Row],[pressure]]/760*101325</f>
        <v>99496.81702302632</v>
      </c>
      <c r="F199" s="7">
        <f>Таблица1[[#This Row],[humidity]]/100</f>
        <v>9.7500000000000003E-2</v>
      </c>
      <c r="G199" s="5" cm="1">
        <f t="array" ref="G199">wet_bulb_temp(Таблица1[[#This Row],[temp]],Таблица1[[#This Row],[humidity_ratio]],Таблица1[[#This Row],[pressure_kpa]])</f>
        <v>20.034600754182446</v>
      </c>
      <c r="H199" s="5" cm="1">
        <f t="array" ref="H199">wet_bulb_temp_simple(Таблица1[[#This Row],[temp]],Таблица1[[#This Row],[humidity]])</f>
        <v>20.255970622357214</v>
      </c>
      <c r="I199" s="5">
        <f>IF(Таблица1[[#This Row],[wet_bulb_thermo]]+$F$1&lt;20,20,Таблица1[[#This Row],[wet_bulb_thermo]]+$F$1)</f>
        <v>30.034600754182446</v>
      </c>
      <c r="J199" s="9">
        <f>Таблица1[[#This Row],[Tcold]]+$I$1</f>
        <v>40.034600754182449</v>
      </c>
      <c r="K199" s="12" cm="1">
        <f t="array" ref="K199">evaporation(Таблица1[[#This Row],[Thot]],Таблица1[[#This Row],[Tcold]],Таблица1[[#This Row],[temp]],Таблица1[[#This Row],[humidity_ratio]],Таблица1[[#This Row],[pressure_kpa]])/$I$1</f>
        <v>1.7357559571040035E-3</v>
      </c>
      <c r="L199">
        <f>MONTH(Таблица1[[#This Row],[date]])</f>
        <v>7</v>
      </c>
      <c r="M199" t="str">
        <f>IF(AND(Таблица1[[#This Row],[month]]&gt;3, Таблица1[[#This Row],[month]]&lt;11),"SUMMER","WINTER")</f>
        <v>SUMMER</v>
      </c>
    </row>
    <row r="200" spans="1:13" x14ac:dyDescent="0.25">
      <c r="A200" s="2">
        <v>44380</v>
      </c>
      <c r="B200" s="5">
        <v>40.837499999999999</v>
      </c>
      <c r="C200" s="5">
        <v>744.71249999999998</v>
      </c>
      <c r="D200" s="5">
        <v>14.25</v>
      </c>
      <c r="E200" s="5">
        <f>Таблица1[[#This Row],[pressure]]/760*101325</f>
        <v>99286.83429276316</v>
      </c>
      <c r="F200" s="7">
        <f>Таблица1[[#This Row],[humidity]]/100</f>
        <v>0.14249999999999999</v>
      </c>
      <c r="G200" s="5" cm="1">
        <f t="array" ref="G200">wet_bulb_temp(Таблица1[[#This Row],[temp]],Таблица1[[#This Row],[humidity_ratio]],Таблица1[[#This Row],[pressure_kpa]])</f>
        <v>20.47577144071753</v>
      </c>
      <c r="H200" s="5" cm="1">
        <f t="array" ref="H200">wet_bulb_temp_simple(Таблица1[[#This Row],[temp]],Таблица1[[#This Row],[humidity]])</f>
        <v>20.977055162579845</v>
      </c>
      <c r="I200" s="5">
        <f>IF(Таблица1[[#This Row],[wet_bulb_thermo]]+$F$1&lt;20,20,Таблица1[[#This Row],[wet_bulb_thermo]]+$F$1)</f>
        <v>30.47577144071753</v>
      </c>
      <c r="J200" s="9">
        <f>Таблица1[[#This Row],[Tcold]]+$I$1</f>
        <v>40.47577144071753</v>
      </c>
      <c r="K200" s="12" cm="1">
        <f t="array" ref="K200">evaporation(Таблица1[[#This Row],[Thot]],Таблица1[[#This Row],[Tcold]],Таблица1[[#This Row],[temp]],Таблица1[[#This Row],[humidity_ratio]],Таблица1[[#This Row],[pressure_kpa]])/$I$1</f>
        <v>1.6905934474780436E-3</v>
      </c>
      <c r="L200">
        <f>MONTH(Таблица1[[#This Row],[date]])</f>
        <v>7</v>
      </c>
      <c r="M200" t="str">
        <f>IF(AND(Таблица1[[#This Row],[month]]&gt;3, Таблица1[[#This Row],[month]]&lt;11),"SUMMER","WINTER")</f>
        <v>SUMMER</v>
      </c>
    </row>
    <row r="201" spans="1:13" x14ac:dyDescent="0.25">
      <c r="A201" s="2">
        <v>44381</v>
      </c>
      <c r="B201" s="5">
        <v>41.225000000000001</v>
      </c>
      <c r="C201" s="5">
        <v>744.21249999999998</v>
      </c>
      <c r="D201" s="5">
        <v>12</v>
      </c>
      <c r="E201" s="5">
        <f>Таблица1[[#This Row],[pressure]]/760*101325</f>
        <v>99220.173108552626</v>
      </c>
      <c r="F201" s="7">
        <f>Таблица1[[#This Row],[humidity]]/100</f>
        <v>0.12</v>
      </c>
      <c r="G201" s="5" cm="1">
        <f t="array" ref="G201">wet_bulb_temp(Таблица1[[#This Row],[temp]],Таблица1[[#This Row],[humidity_ratio]],Таблица1[[#This Row],[pressure_kpa]])</f>
        <v>19.862151013124663</v>
      </c>
      <c r="H201" s="5" cm="1">
        <f t="array" ref="H201">wet_bulb_temp_simple(Таблица1[[#This Row],[temp]],Таблица1[[#This Row],[humidity]])</f>
        <v>20.194195681372545</v>
      </c>
      <c r="I201" s="5">
        <f>IF(Таблица1[[#This Row],[wet_bulb_thermo]]+$F$1&lt;20,20,Таблица1[[#This Row],[wet_bulb_thermo]]+$F$1)</f>
        <v>29.862151013124663</v>
      </c>
      <c r="J201" s="9">
        <f>Таблица1[[#This Row],[Tcold]]+$I$1</f>
        <v>39.862151013124659</v>
      </c>
      <c r="K201" s="12" cm="1">
        <f t="array" ref="K201">evaporation(Таблица1[[#This Row],[Thot]],Таблица1[[#This Row],[Tcold]],Таблица1[[#This Row],[temp]],Таблица1[[#This Row],[humidity_ratio]],Таблица1[[#This Row],[pressure_kpa]])/$I$1</f>
        <v>1.7063797626213971E-3</v>
      </c>
      <c r="L201">
        <f>MONTH(Таблица1[[#This Row],[date]])</f>
        <v>7</v>
      </c>
      <c r="M201" t="str">
        <f>IF(AND(Таблица1[[#This Row],[month]]&gt;3, Таблица1[[#This Row],[month]]&lt;11),"SUMMER","WINTER")</f>
        <v>SUMMER</v>
      </c>
    </row>
    <row r="202" spans="1:13" x14ac:dyDescent="0.25">
      <c r="A202" s="2">
        <v>44382</v>
      </c>
      <c r="B202" s="5">
        <v>39.5625</v>
      </c>
      <c r="C202" s="5">
        <v>746.125</v>
      </c>
      <c r="D202" s="5">
        <v>14</v>
      </c>
      <c r="E202" s="5">
        <f>Таблица1[[#This Row],[pressure]]/760*101325</f>
        <v>99475.152138157893</v>
      </c>
      <c r="F202" s="7">
        <f>Таблица1[[#This Row],[humidity]]/100</f>
        <v>0.14000000000000001</v>
      </c>
      <c r="G202" s="5" cm="1">
        <f t="array" ref="G202">wet_bulb_temp(Таблица1[[#This Row],[temp]],Таблица1[[#This Row],[humidity_ratio]],Таблица1[[#This Row],[pressure_kpa]])</f>
        <v>19.652820990046969</v>
      </c>
      <c r="H202" s="5" cm="1">
        <f t="array" ref="H202">wet_bulb_temp_simple(Таблица1[[#This Row],[temp]],Таблица1[[#This Row],[humidity]])</f>
        <v>20.073579908917647</v>
      </c>
      <c r="I202" s="5">
        <f>IF(Таблица1[[#This Row],[wet_bulb_thermo]]+$F$1&lt;20,20,Таблица1[[#This Row],[wet_bulb_thermo]]+$F$1)</f>
        <v>29.652820990046969</v>
      </c>
      <c r="J202" s="9">
        <f>Таблица1[[#This Row],[Tcold]]+$I$1</f>
        <v>39.652820990046969</v>
      </c>
      <c r="K202" s="12" cm="1">
        <f t="array" ref="K202">evaporation(Таблица1[[#This Row],[Thot]],Таблица1[[#This Row],[Tcold]],Таблица1[[#This Row],[temp]],Таблица1[[#This Row],[humidity_ratio]],Таблица1[[#This Row],[pressure_kpa]])/$I$1</f>
        <v>1.6832934712095258E-3</v>
      </c>
      <c r="L202">
        <f>MONTH(Таблица1[[#This Row],[date]])</f>
        <v>7</v>
      </c>
      <c r="M202" t="str">
        <f>IF(AND(Таблица1[[#This Row],[month]]&gt;3, Таблица1[[#This Row],[month]]&lt;11),"SUMMER","WINTER")</f>
        <v>SUMMER</v>
      </c>
    </row>
    <row r="203" spans="1:13" x14ac:dyDescent="0.25">
      <c r="A203" s="2">
        <v>44383</v>
      </c>
      <c r="B203" s="5">
        <v>39.612499999999997</v>
      </c>
      <c r="C203" s="5">
        <v>746.86249999999995</v>
      </c>
      <c r="D203" s="5">
        <v>15.5</v>
      </c>
      <c r="E203" s="5">
        <f>Таблица1[[#This Row],[pressure]]/760*101325</f>
        <v>99573.477384868413</v>
      </c>
      <c r="F203" s="7">
        <f>Таблица1[[#This Row],[humidity]]/100</f>
        <v>0.155</v>
      </c>
      <c r="G203" s="5" cm="1">
        <f t="array" ref="G203">wet_bulb_temp(Таблица1[[#This Row],[temp]],Таблица1[[#This Row],[humidity_ratio]],Таблица1[[#This Row],[pressure_kpa]])</f>
        <v>20.19477723839881</v>
      </c>
      <c r="H203" s="5" cm="1">
        <f t="array" ref="H203">wet_bulb_temp_simple(Таблица1[[#This Row],[temp]],Таблица1[[#This Row],[humidity]])</f>
        <v>20.72804997434363</v>
      </c>
      <c r="I203" s="5">
        <f>IF(Таблица1[[#This Row],[wet_bulb_thermo]]+$F$1&lt;20,20,Таблица1[[#This Row],[wet_bulb_thermo]]+$F$1)</f>
        <v>30.19477723839881</v>
      </c>
      <c r="J203" s="9">
        <f>Таблица1[[#This Row],[Tcold]]+$I$1</f>
        <v>40.194777238398814</v>
      </c>
      <c r="K203" s="12" cm="1">
        <f t="array" ref="K203">evaporation(Таблица1[[#This Row],[Thot]],Таблица1[[#This Row],[Tcold]],Таблица1[[#This Row],[temp]],Таблица1[[#This Row],[humidity_ratio]],Таблица1[[#This Row],[pressure_kpa]])/$I$1</f>
        <v>1.6758100913673052E-3</v>
      </c>
      <c r="L203">
        <f>MONTH(Таблица1[[#This Row],[date]])</f>
        <v>7</v>
      </c>
      <c r="M203" t="str">
        <f>IF(AND(Таблица1[[#This Row],[month]]&gt;3, Таблица1[[#This Row],[month]]&lt;11),"SUMMER","WINTER")</f>
        <v>SUMMER</v>
      </c>
    </row>
    <row r="204" spans="1:13" x14ac:dyDescent="0.25">
      <c r="A204" s="2">
        <v>44384</v>
      </c>
      <c r="B204" s="5">
        <v>41.024999999999999</v>
      </c>
      <c r="C204" s="5">
        <v>747.32500000000005</v>
      </c>
      <c r="D204" s="5">
        <v>13.625</v>
      </c>
      <c r="E204" s="5">
        <f>Таблица1[[#This Row],[pressure]]/760*101325</f>
        <v>99635.13898026316</v>
      </c>
      <c r="F204" s="7">
        <f>Таблица1[[#This Row],[humidity]]/100</f>
        <v>0.13625000000000001</v>
      </c>
      <c r="G204" s="5" cm="1">
        <f t="array" ref="G204">wet_bulb_temp(Таблица1[[#This Row],[temp]],Таблица1[[#This Row],[humidity_ratio]],Таблица1[[#This Row],[pressure_kpa]])</f>
        <v>20.336375529580568</v>
      </c>
      <c r="H204" s="5" cm="1">
        <f t="array" ref="H204">wet_bulb_temp_simple(Таблица1[[#This Row],[temp]],Таблица1[[#This Row],[humidity]])</f>
        <v>20.818500744291491</v>
      </c>
      <c r="I204" s="5">
        <f>IF(Таблица1[[#This Row],[wet_bulb_thermo]]+$F$1&lt;20,20,Таблица1[[#This Row],[wet_bulb_thermo]]+$F$1)</f>
        <v>30.336375529580568</v>
      </c>
      <c r="J204" s="9">
        <f>Таблица1[[#This Row],[Tcold]]+$I$1</f>
        <v>40.336375529580565</v>
      </c>
      <c r="K204" s="12" cm="1">
        <f t="array" ref="K204">evaporation(Таблица1[[#This Row],[Thot]],Таблица1[[#This Row],[Tcold]],Таблица1[[#This Row],[temp]],Таблица1[[#This Row],[humidity_ratio]],Таблица1[[#This Row],[pressure_kpa]])/$I$1</f>
        <v>1.6956962064863541E-3</v>
      </c>
      <c r="L204">
        <f>MONTH(Таблица1[[#This Row],[date]])</f>
        <v>7</v>
      </c>
      <c r="M204" t="str">
        <f>IF(AND(Таблица1[[#This Row],[month]]&gt;3, Таблица1[[#This Row],[month]]&lt;11),"SUMMER","WINTER")</f>
        <v>SUMMER</v>
      </c>
    </row>
    <row r="205" spans="1:13" x14ac:dyDescent="0.25">
      <c r="A205" s="2">
        <v>44385</v>
      </c>
      <c r="B205" s="5">
        <v>40.924999999999997</v>
      </c>
      <c r="C205" s="5">
        <v>747.45</v>
      </c>
      <c r="D205" s="5">
        <v>12.625</v>
      </c>
      <c r="E205" s="5">
        <f>Таблица1[[#This Row],[pressure]]/760*101325</f>
        <v>99651.804276315801</v>
      </c>
      <c r="F205" s="7">
        <f>Таблица1[[#This Row],[humidity]]/100</f>
        <v>0.12625</v>
      </c>
      <c r="G205" s="5" cm="1">
        <f t="array" ref="G205">wet_bulb_temp(Таблица1[[#This Row],[temp]],Таблица1[[#This Row],[humidity_ratio]],Таблица1[[#This Row],[pressure_kpa]])</f>
        <v>19.911831172260126</v>
      </c>
      <c r="H205" s="5" cm="1">
        <f t="array" ref="H205">wet_bulb_temp_simple(Таблица1[[#This Row],[temp]],Таблица1[[#This Row],[humidity]])</f>
        <v>20.304375656501193</v>
      </c>
      <c r="I205" s="5">
        <f>IF(Таблица1[[#This Row],[wet_bulb_thermo]]+$F$1&lt;20,20,Таблица1[[#This Row],[wet_bulb_thermo]]+$F$1)</f>
        <v>29.911831172260126</v>
      </c>
      <c r="J205" s="9">
        <f>Таблица1[[#This Row],[Tcold]]+$I$1</f>
        <v>39.911831172260122</v>
      </c>
      <c r="K205" s="12" cm="1">
        <f t="array" ref="K205">evaporation(Таблица1[[#This Row],[Thot]],Таблица1[[#This Row],[Tcold]],Таблица1[[#This Row],[temp]],Таблица1[[#This Row],[humidity_ratio]],Таблица1[[#This Row],[pressure_kpa]])/$I$1</f>
        <v>1.7009126604933355E-3</v>
      </c>
      <c r="L205">
        <f>MONTH(Таблица1[[#This Row],[date]])</f>
        <v>7</v>
      </c>
      <c r="M205" t="str">
        <f>IF(AND(Таблица1[[#This Row],[month]]&gt;3, Таблица1[[#This Row],[month]]&lt;11),"SUMMER","WINTER")</f>
        <v>SUMMER</v>
      </c>
    </row>
    <row r="206" spans="1:13" x14ac:dyDescent="0.25">
      <c r="A206" s="2">
        <v>44386</v>
      </c>
      <c r="B206" s="5">
        <v>41.712499999999999</v>
      </c>
      <c r="C206" s="5">
        <v>744.28750000000002</v>
      </c>
      <c r="D206" s="5">
        <v>12.625</v>
      </c>
      <c r="E206" s="5">
        <f>Таблица1[[#This Row],[pressure]]/760*101325</f>
        <v>99230.172286184214</v>
      </c>
      <c r="F206" s="7">
        <f>Таблица1[[#This Row],[humidity]]/100</f>
        <v>0.12625</v>
      </c>
      <c r="G206" s="5" cm="1">
        <f t="array" ref="G206">wet_bulb_temp(Таблица1[[#This Row],[temp]],Таблица1[[#This Row],[humidity_ratio]],Таблица1[[#This Row],[pressure_kpa]])</f>
        <v>20.365348267924691</v>
      </c>
      <c r="H206" s="5" cm="1">
        <f t="array" ref="H206">wet_bulb_temp_simple(Таблица1[[#This Row],[temp]],Таблица1[[#This Row],[humidity]])</f>
        <v>20.783171404685582</v>
      </c>
      <c r="I206" s="5">
        <f>IF(Таблица1[[#This Row],[wet_bulb_thermo]]+$F$1&lt;20,20,Таблица1[[#This Row],[wet_bulb_thermo]]+$F$1)</f>
        <v>30.365348267924691</v>
      </c>
      <c r="J206" s="9">
        <f>Таблица1[[#This Row],[Tcold]]+$I$1</f>
        <v>40.365348267924688</v>
      </c>
      <c r="K206" s="12" cm="1">
        <f t="array" ref="K206">evaporation(Таблица1[[#This Row],[Thot]],Таблица1[[#This Row],[Tcold]],Таблица1[[#This Row],[temp]],Таблица1[[#This Row],[humidity_ratio]],Таблица1[[#This Row],[pressure_kpa]])/$I$1</f>
        <v>1.7058288412829625E-3</v>
      </c>
      <c r="L206">
        <f>MONTH(Таблица1[[#This Row],[date]])</f>
        <v>7</v>
      </c>
      <c r="M206" t="str">
        <f>IF(AND(Таблица1[[#This Row],[month]]&gt;3, Таблица1[[#This Row],[month]]&lt;11),"SUMMER","WINTER")</f>
        <v>SUMMER</v>
      </c>
    </row>
    <row r="207" spans="1:13" x14ac:dyDescent="0.25">
      <c r="A207" s="2">
        <v>44387</v>
      </c>
      <c r="B207" s="5">
        <v>36.5</v>
      </c>
      <c r="C207" s="5">
        <v>742.52499999999998</v>
      </c>
      <c r="D207" s="5">
        <v>19.25</v>
      </c>
      <c r="E207" s="5">
        <f>Таблица1[[#This Row],[pressure]]/760*101325</f>
        <v>98995.191611842107</v>
      </c>
      <c r="F207" s="7">
        <f>Таблица1[[#This Row],[humidity]]/100</f>
        <v>0.1925</v>
      </c>
      <c r="G207" s="5" cm="1">
        <f t="array" ref="G207">wet_bulb_temp(Таблица1[[#This Row],[temp]],Таблица1[[#This Row],[humidity_ratio]],Таблица1[[#This Row],[pressure_kpa]])</f>
        <v>19.550729936940119</v>
      </c>
      <c r="H207" s="5" cm="1">
        <f t="array" ref="H207">wet_bulb_temp_simple(Таблица1[[#This Row],[temp]],Таблица1[[#This Row],[humidity]])</f>
        <v>20.072519026893126</v>
      </c>
      <c r="I207" s="5">
        <f>IF(Таблица1[[#This Row],[wet_bulb_thermo]]+$F$1&lt;20,20,Таблица1[[#This Row],[wet_bulb_thermo]]+$F$1)</f>
        <v>29.550729936940119</v>
      </c>
      <c r="J207" s="9">
        <f>Таблица1[[#This Row],[Tcold]]+$I$1</f>
        <v>39.550729936940115</v>
      </c>
      <c r="K207" s="12" cm="1">
        <f t="array" ref="K207">evaporation(Таблица1[[#This Row],[Thot]],Таблица1[[#This Row],[Tcold]],Таблица1[[#This Row],[temp]],Таблица1[[#This Row],[humidity_ratio]],Таблица1[[#This Row],[pressure_kpa]])/$I$1</f>
        <v>1.6359290894003189E-3</v>
      </c>
      <c r="L207">
        <f>MONTH(Таблица1[[#This Row],[date]])</f>
        <v>7</v>
      </c>
      <c r="M207" t="str">
        <f>IF(AND(Таблица1[[#This Row],[month]]&gt;3, Таблица1[[#This Row],[month]]&lt;11),"SUMMER","WINTER")</f>
        <v>SUMMER</v>
      </c>
    </row>
    <row r="208" spans="1:13" x14ac:dyDescent="0.25">
      <c r="A208" s="2">
        <v>44390</v>
      </c>
      <c r="B208" s="5">
        <v>44.3</v>
      </c>
      <c r="C208" s="5">
        <v>742.42</v>
      </c>
      <c r="D208" s="5">
        <v>9.6</v>
      </c>
      <c r="E208" s="5">
        <f>Таблица1[[#This Row],[pressure]]/760*101325</f>
        <v>98981.192763157887</v>
      </c>
      <c r="F208" s="7">
        <f>Таблица1[[#This Row],[humidity]]/100</f>
        <v>9.6000000000000002E-2</v>
      </c>
      <c r="G208" s="5" cm="1">
        <f t="array" ref="G208">wet_bulb_temp(Таблица1[[#This Row],[temp]],Таблица1[[#This Row],[humidity_ratio]],Таблица1[[#This Row],[pressure_kpa]])</f>
        <v>20.522997815732769</v>
      </c>
      <c r="H208" s="5" cm="1">
        <f t="array" ref="H208">wet_bulb_temp_simple(Таблица1[[#This Row],[temp]],Таблица1[[#This Row],[humidity]])</f>
        <v>20.76849924301338</v>
      </c>
      <c r="I208" s="5">
        <f>IF(Таблица1[[#This Row],[wet_bulb_thermo]]+$F$1&lt;20,20,Таблица1[[#This Row],[wet_bulb_thermo]]+$F$1)</f>
        <v>30.522997815732769</v>
      </c>
      <c r="J208" s="9">
        <f>Таблица1[[#This Row],[Tcold]]+$I$1</f>
        <v>40.522997815732765</v>
      </c>
      <c r="K208" s="12" cm="1">
        <f t="array" ref="K208">evaporation(Таблица1[[#This Row],[Thot]],Таблица1[[#This Row],[Tcold]],Таблица1[[#This Row],[temp]],Таблица1[[#This Row],[humidity_ratio]],Таблица1[[#This Row],[pressure_kpa]])/$I$1</f>
        <v>1.7429130848389839E-3</v>
      </c>
      <c r="L208">
        <f>MONTH(Таблица1[[#This Row],[date]])</f>
        <v>7</v>
      </c>
      <c r="M208" t="str">
        <f>IF(AND(Таблица1[[#This Row],[month]]&gt;3, Таблица1[[#This Row],[month]]&lt;11),"SUMMER","WINTER")</f>
        <v>SUMMER</v>
      </c>
    </row>
    <row r="209" spans="1:13" x14ac:dyDescent="0.25">
      <c r="A209" s="2">
        <v>44391</v>
      </c>
      <c r="B209" s="5">
        <v>39.737499999999997</v>
      </c>
      <c r="C209" s="5">
        <v>743.72500000000002</v>
      </c>
      <c r="D209" s="5">
        <v>16.875</v>
      </c>
      <c r="E209" s="5">
        <f>Таблица1[[#This Row],[pressure]]/760*101325</f>
        <v>99155.178453947374</v>
      </c>
      <c r="F209" s="7">
        <f>Таблица1[[#This Row],[humidity]]/100</f>
        <v>0.16875000000000001</v>
      </c>
      <c r="G209" s="5" cm="1">
        <f t="array" ref="G209">wet_bulb_temp(Таблица1[[#This Row],[temp]],Таблица1[[#This Row],[humidity_ratio]],Таблица1[[#This Row],[pressure_kpa]])</f>
        <v>20.760621699714807</v>
      </c>
      <c r="H209" s="5" cm="1">
        <f t="array" ref="H209">wet_bulb_temp_simple(Таблица1[[#This Row],[temp]],Таблица1[[#This Row],[humidity]])</f>
        <v>21.356292500898096</v>
      </c>
      <c r="I209" s="5">
        <f>IF(Таблица1[[#This Row],[wet_bulb_thermo]]+$F$1&lt;20,20,Таблица1[[#This Row],[wet_bulb_thermo]]+$F$1)</f>
        <v>30.760621699714807</v>
      </c>
      <c r="J209" s="9">
        <f>Таблица1[[#This Row],[Tcold]]+$I$1</f>
        <v>40.760621699714804</v>
      </c>
      <c r="K209" s="12" cm="1">
        <f t="array" ref="K209">evaporation(Таблица1[[#This Row],[Thot]],Таблица1[[#This Row],[Tcold]],Таблица1[[#This Row],[temp]],Таблица1[[#This Row],[humidity_ratio]],Таблица1[[#This Row],[pressure_kpa]])/$I$1</f>
        <v>1.6695888124465055E-3</v>
      </c>
      <c r="L209">
        <f>MONTH(Таблица1[[#This Row],[date]])</f>
        <v>7</v>
      </c>
      <c r="M209" t="str">
        <f>IF(AND(Таблица1[[#This Row],[month]]&gt;3, Таблица1[[#This Row],[month]]&lt;11),"SUMMER","WINTER")</f>
        <v>SUMMER</v>
      </c>
    </row>
    <row r="210" spans="1:13" x14ac:dyDescent="0.25">
      <c r="A210" s="2">
        <v>44392</v>
      </c>
      <c r="B210" s="5">
        <v>40.174999999999997</v>
      </c>
      <c r="C210" s="5">
        <v>744.41250000000002</v>
      </c>
      <c r="D210" s="5">
        <v>22.375</v>
      </c>
      <c r="E210" s="5">
        <f>Таблица1[[#This Row],[pressure]]/760*101325</f>
        <v>99246.83758223684</v>
      </c>
      <c r="F210" s="7">
        <f>Таблица1[[#This Row],[humidity]]/100</f>
        <v>0.22375</v>
      </c>
      <c r="G210" s="5" cm="1">
        <f t="array" ref="G210">wet_bulb_temp(Таблица1[[#This Row],[temp]],Таблица1[[#This Row],[humidity_ratio]],Таблица1[[#This Row],[pressure_kpa]])</f>
        <v>22.845877934072075</v>
      </c>
      <c r="H210" s="5" cm="1">
        <f t="array" ref="H210">wet_bulb_temp_simple(Таблица1[[#This Row],[temp]],Таблица1[[#This Row],[humidity]])</f>
        <v>23.657758557341996</v>
      </c>
      <c r="I210" s="5">
        <f>IF(Таблица1[[#This Row],[wet_bulb_thermo]]+$F$1&lt;20,20,Таблица1[[#This Row],[wet_bulb_thermo]]+$F$1)</f>
        <v>32.845877934072078</v>
      </c>
      <c r="J210" s="9">
        <f>Таблица1[[#This Row],[Tcold]]+$I$1</f>
        <v>42.845877934072078</v>
      </c>
      <c r="K210" s="12" cm="1">
        <f t="array" ref="K210">evaporation(Таблица1[[#This Row],[Thot]],Таблица1[[#This Row],[Tcold]],Таблица1[[#This Row],[temp]],Таблица1[[#This Row],[humidity_ratio]],Таблица1[[#This Row],[pressure_kpa]])/$I$1</f>
        <v>1.648937505772434E-3</v>
      </c>
      <c r="L210">
        <f>MONTH(Таблица1[[#This Row],[date]])</f>
        <v>7</v>
      </c>
      <c r="M210" t="str">
        <f>IF(AND(Таблица1[[#This Row],[month]]&gt;3, Таблица1[[#This Row],[month]]&lt;11),"SUMMER","WINTER")</f>
        <v>SUMMER</v>
      </c>
    </row>
    <row r="211" spans="1:13" x14ac:dyDescent="0.25">
      <c r="A211" s="2">
        <v>44393</v>
      </c>
      <c r="B211" s="5">
        <v>39.950000000000003</v>
      </c>
      <c r="C211" s="5">
        <v>745.66250000000002</v>
      </c>
      <c r="D211" s="5">
        <v>23.5</v>
      </c>
      <c r="E211" s="5">
        <f>Таблица1[[#This Row],[pressure]]/760*101325</f>
        <v>99413.49054276316</v>
      </c>
      <c r="F211" s="7">
        <f>Таблица1[[#This Row],[humidity]]/100</f>
        <v>0.23499999999999999</v>
      </c>
      <c r="G211" s="5" cm="1">
        <f t="array" ref="G211">wet_bulb_temp(Таблица1[[#This Row],[temp]],Таблица1[[#This Row],[humidity_ratio]],Таблица1[[#This Row],[pressure_kpa]])</f>
        <v>23.044177661215318</v>
      </c>
      <c r="H211" s="5" cm="1">
        <f t="array" ref="H211">wet_bulb_temp_simple(Таблица1[[#This Row],[temp]],Таблица1[[#This Row],[humidity]])</f>
        <v>23.877056861656243</v>
      </c>
      <c r="I211" s="5">
        <f>IF(Таблица1[[#This Row],[wet_bulb_thermo]]+$F$1&lt;20,20,Таблица1[[#This Row],[wet_bulb_thermo]]+$F$1)</f>
        <v>33.044177661215315</v>
      </c>
      <c r="J211" s="9">
        <f>Таблица1[[#This Row],[Tcold]]+$I$1</f>
        <v>43.044177661215315</v>
      </c>
      <c r="K211" s="12" cm="1">
        <f t="array" ref="K211">evaporation(Таблица1[[#This Row],[Thot]],Таблица1[[#This Row],[Tcold]],Таблица1[[#This Row],[temp]],Таблица1[[#This Row],[humidity_ratio]],Таблица1[[#This Row],[pressure_kpa]])/$I$1</f>
        <v>1.6434573588162548E-3</v>
      </c>
      <c r="L211">
        <f>MONTH(Таблица1[[#This Row],[date]])</f>
        <v>7</v>
      </c>
      <c r="M211" t="str">
        <f>IF(AND(Таблица1[[#This Row],[month]]&gt;3, Таблица1[[#This Row],[month]]&lt;11),"SUMMER","WINTER")</f>
        <v>SUMMER</v>
      </c>
    </row>
    <row r="212" spans="1:13" x14ac:dyDescent="0.25">
      <c r="A212" s="2">
        <v>44394</v>
      </c>
      <c r="B212" s="5">
        <v>38.674999999999997</v>
      </c>
      <c r="C212" s="5">
        <v>746.61249999999995</v>
      </c>
      <c r="D212" s="5">
        <v>35.125</v>
      </c>
      <c r="E212" s="5">
        <f>Таблица1[[#This Row],[pressure]]/760*101325</f>
        <v>99540.146792763146</v>
      </c>
      <c r="F212" s="7">
        <f>Таблица1[[#This Row],[humidity]]/100</f>
        <v>0.35125000000000001</v>
      </c>
      <c r="G212" s="5" cm="1">
        <f t="array" ref="G212">wet_bulb_temp(Таблица1[[#This Row],[temp]],Таблица1[[#This Row],[humidity_ratio]],Таблица1[[#This Row],[pressure_kpa]])</f>
        <v>25.514585178202193</v>
      </c>
      <c r="H212" s="5" cm="1">
        <f t="array" ref="H212">wet_bulb_temp_simple(Таблица1[[#This Row],[temp]],Таблица1[[#This Row],[humidity]])</f>
        <v>26.293498033991217</v>
      </c>
      <c r="I212" s="5">
        <f>IF(Таблица1[[#This Row],[wet_bulb_thermo]]+$F$1&lt;20,20,Таблица1[[#This Row],[wet_bulb_thermo]]+$F$1)</f>
        <v>35.514585178202196</v>
      </c>
      <c r="J212" s="9">
        <f>Таблица1[[#This Row],[Tcold]]+$I$1</f>
        <v>45.514585178202196</v>
      </c>
      <c r="K212" s="12" cm="1">
        <f t="array" ref="K212">evaporation(Таблица1[[#This Row],[Thot]],Таблица1[[#This Row],[Tcold]],Таблица1[[#This Row],[temp]],Таблица1[[#This Row],[humidity_ratio]],Таблица1[[#This Row],[pressure_kpa]])/$I$1</f>
        <v>1.603042374850394E-3</v>
      </c>
      <c r="L212">
        <f>MONTH(Таблица1[[#This Row],[date]])</f>
        <v>7</v>
      </c>
      <c r="M212" t="str">
        <f>IF(AND(Таблица1[[#This Row],[month]]&gt;3, Таблица1[[#This Row],[month]]&lt;11),"SUMMER","WINTER")</f>
        <v>SUMMER</v>
      </c>
    </row>
    <row r="213" spans="1:13" x14ac:dyDescent="0.25">
      <c r="A213" s="2">
        <v>44395</v>
      </c>
      <c r="B213" s="5">
        <v>38.325000000000003</v>
      </c>
      <c r="C213" s="5">
        <v>747.57500000000005</v>
      </c>
      <c r="D213" s="5">
        <v>49</v>
      </c>
      <c r="E213" s="5">
        <f>Таблица1[[#This Row],[pressure]]/760*101325</f>
        <v>99668.469572368427</v>
      </c>
      <c r="F213" s="7">
        <f>Таблица1[[#This Row],[humidity]]/100</f>
        <v>0.49</v>
      </c>
      <c r="G213" s="5" cm="1">
        <f t="array" ref="G213">wet_bulb_temp(Таблица1[[#This Row],[temp]],Таблица1[[#This Row],[humidity_ratio]],Таблица1[[#This Row],[pressure_kpa]])</f>
        <v>28.70032919825422</v>
      </c>
      <c r="H213" s="5" cm="1">
        <f t="array" ref="H213">wet_bulb_temp_simple(Таблица1[[#This Row],[temp]],Таблица1[[#This Row],[humidity]])</f>
        <v>29.241329057406713</v>
      </c>
      <c r="I213" s="5">
        <f>IF(Таблица1[[#This Row],[wet_bulb_thermo]]+$F$1&lt;20,20,Таблица1[[#This Row],[wet_bulb_thermo]]+$F$1)</f>
        <v>38.700329198254224</v>
      </c>
      <c r="J213" s="9">
        <f>Таблица1[[#This Row],[Tcold]]+$I$1</f>
        <v>48.700329198254224</v>
      </c>
      <c r="K213" s="12" cm="1">
        <f t="array" ref="K213">evaporation(Таблица1[[#This Row],[Thot]],Таблица1[[#This Row],[Tcold]],Таблица1[[#This Row],[temp]],Таблица1[[#This Row],[humidity_ratio]],Таблица1[[#This Row],[pressure_kpa]])/$I$1</f>
        <v>1.5786327935813694E-3</v>
      </c>
      <c r="L213">
        <f>MONTH(Таблица1[[#This Row],[date]])</f>
        <v>7</v>
      </c>
      <c r="M213" t="str">
        <f>IF(AND(Таблица1[[#This Row],[month]]&gt;3, Таблица1[[#This Row],[month]]&lt;11),"SUMMER","WINTER")</f>
        <v>SUMMER</v>
      </c>
    </row>
    <row r="214" spans="1:13" x14ac:dyDescent="0.25">
      <c r="A214" s="2">
        <v>44396</v>
      </c>
      <c r="B214" s="5">
        <v>38.75</v>
      </c>
      <c r="C214" s="5">
        <v>746.63750000000005</v>
      </c>
      <c r="D214" s="5">
        <v>47.875</v>
      </c>
      <c r="E214" s="5">
        <f>Таблица1[[#This Row],[pressure]]/760*101325</f>
        <v>99543.47985197368</v>
      </c>
      <c r="F214" s="7">
        <f>Таблица1[[#This Row],[humidity]]/100</f>
        <v>0.47875000000000001</v>
      </c>
      <c r="G214" s="5" cm="1">
        <f t="array" ref="G214">wet_bulb_temp(Таблица1[[#This Row],[temp]],Таблица1[[#This Row],[humidity_ratio]],Таблица1[[#This Row],[pressure_kpa]])</f>
        <v>28.798904391155364</v>
      </c>
      <c r="H214" s="5" cm="1">
        <f t="array" ref="H214">wet_bulb_temp_simple(Таблица1[[#This Row],[temp]],Таблица1[[#This Row],[humidity]])</f>
        <v>29.36098214682729</v>
      </c>
      <c r="I214" s="5">
        <f>IF(Таблица1[[#This Row],[wet_bulb_thermo]]+$F$1&lt;20,20,Таблица1[[#This Row],[wet_bulb_thermo]]+$F$1)</f>
        <v>38.798904391155361</v>
      </c>
      <c r="J214" s="9">
        <f>Таблица1[[#This Row],[Tcold]]+$I$1</f>
        <v>48.798904391155361</v>
      </c>
      <c r="K214" s="12" cm="1">
        <f t="array" ref="K214">evaporation(Таблица1[[#This Row],[Thot]],Таблица1[[#This Row],[Tcold]],Таблица1[[#This Row],[temp]],Таблица1[[#This Row],[humidity_ratio]],Таблица1[[#This Row],[pressure_kpa]])/$I$1</f>
        <v>1.5827870084575771E-3</v>
      </c>
      <c r="L214">
        <f>MONTH(Таблица1[[#This Row],[date]])</f>
        <v>7</v>
      </c>
      <c r="M214" t="str">
        <f>IF(AND(Таблица1[[#This Row],[month]]&gt;3, Таблица1[[#This Row],[month]]&lt;11),"SUMMER","WINTER")</f>
        <v>SUMMER</v>
      </c>
    </row>
    <row r="215" spans="1:13" x14ac:dyDescent="0.25">
      <c r="A215" s="2">
        <v>44397</v>
      </c>
      <c r="B215" s="5">
        <v>40.299999999999997</v>
      </c>
      <c r="C215" s="5">
        <v>745.11249999999995</v>
      </c>
      <c r="D215" s="5">
        <v>44.625</v>
      </c>
      <c r="E215" s="5">
        <f>Таблица1[[#This Row],[pressure]]/760*101325</f>
        <v>99340.163240131573</v>
      </c>
      <c r="F215" s="7">
        <f>Таблица1[[#This Row],[humidity]]/100</f>
        <v>0.44624999999999998</v>
      </c>
      <c r="G215" s="5" cm="1">
        <f t="array" ref="G215">wet_bulb_temp(Таблица1[[#This Row],[temp]],Таблица1[[#This Row],[humidity_ratio]],Таблица1[[#This Row],[pressure_kpa]])</f>
        <v>29.28219747683621</v>
      </c>
      <c r="H215" s="5" cm="1">
        <f t="array" ref="H215">wet_bulb_temp_simple(Таблица1[[#This Row],[temp]],Таблица1[[#This Row],[humidity]])</f>
        <v>29.934680857709822</v>
      </c>
      <c r="I215" s="5">
        <f>IF(Таблица1[[#This Row],[wet_bulb_thermo]]+$F$1&lt;20,20,Таблица1[[#This Row],[wet_bulb_thermo]]+$F$1)</f>
        <v>39.28219747683621</v>
      </c>
      <c r="J215" s="9">
        <f>Таблица1[[#This Row],[Tcold]]+$I$1</f>
        <v>49.28219747683621</v>
      </c>
      <c r="K215" s="12" cm="1">
        <f t="array" ref="K215">evaporation(Таблица1[[#This Row],[Thot]],Таблица1[[#This Row],[Tcold]],Таблица1[[#This Row],[temp]],Таблица1[[#This Row],[humidity_ratio]],Таблица1[[#This Row],[pressure_kpa]])/$I$1</f>
        <v>1.5965320249749088E-3</v>
      </c>
      <c r="L215">
        <f>MONTH(Таблица1[[#This Row],[date]])</f>
        <v>7</v>
      </c>
      <c r="M215" t="str">
        <f>IF(AND(Таблица1[[#This Row],[month]]&gt;3, Таблица1[[#This Row],[month]]&lt;11),"SUMMER","WINTER")</f>
        <v>SUMMER</v>
      </c>
    </row>
    <row r="216" spans="1:13" x14ac:dyDescent="0.25">
      <c r="A216" s="2">
        <v>44398</v>
      </c>
      <c r="B216" s="5">
        <v>40.200000000000003</v>
      </c>
      <c r="C216" s="5">
        <v>746.1875</v>
      </c>
      <c r="D216" s="5">
        <v>44</v>
      </c>
      <c r="E216" s="5">
        <f>Таблица1[[#This Row],[pressure]]/760*101325</f>
        <v>99483.484786184214</v>
      </c>
      <c r="F216" s="7">
        <f>Таблица1[[#This Row],[humidity]]/100</f>
        <v>0.44</v>
      </c>
      <c r="G216" s="5" cm="1">
        <f t="array" ref="G216">wet_bulb_temp(Таблица1[[#This Row],[temp]],Таблица1[[#This Row],[humidity_ratio]],Таблица1[[#This Row],[pressure_kpa]])</f>
        <v>29.026731197425949</v>
      </c>
      <c r="H216" s="5" cm="1">
        <f t="array" ref="H216">wet_bulb_temp_simple(Таблица1[[#This Row],[temp]],Таблица1[[#This Row],[humidity]])</f>
        <v>29.704932887726255</v>
      </c>
      <c r="I216" s="5">
        <f>IF(Таблица1[[#This Row],[wet_bulb_thermo]]+$F$1&lt;20,20,Таблица1[[#This Row],[wet_bulb_thermo]]+$F$1)</f>
        <v>39.026731197425946</v>
      </c>
      <c r="J216" s="9">
        <f>Таблица1[[#This Row],[Tcold]]+$I$1</f>
        <v>49.026731197425946</v>
      </c>
      <c r="K216" s="12" cm="1">
        <f t="array" ref="K216">evaporation(Таблица1[[#This Row],[Thot]],Таблица1[[#This Row],[Tcold]],Таблица1[[#This Row],[temp]],Таблица1[[#This Row],[humidity_ratio]],Таблица1[[#This Row],[pressure_kpa]])/$I$1</f>
        <v>1.5967138564186537E-3</v>
      </c>
      <c r="L216">
        <f>MONTH(Таблица1[[#This Row],[date]])</f>
        <v>7</v>
      </c>
      <c r="M216" t="str">
        <f>IF(AND(Таблица1[[#This Row],[month]]&gt;3, Таблица1[[#This Row],[month]]&lt;11),"SUMMER","WINTER")</f>
        <v>SUMMER</v>
      </c>
    </row>
    <row r="217" spans="1:13" x14ac:dyDescent="0.25">
      <c r="A217" s="2">
        <v>44399</v>
      </c>
      <c r="B217" s="5">
        <v>41.674999999999997</v>
      </c>
      <c r="C217" s="5">
        <v>744.08749999999998</v>
      </c>
      <c r="D217" s="5">
        <v>34.5</v>
      </c>
      <c r="E217" s="5">
        <f>Таблица1[[#This Row],[pressure]]/760*101325</f>
        <v>99203.5078125</v>
      </c>
      <c r="F217" s="7">
        <f>Таблица1[[#This Row],[humidity]]/100</f>
        <v>0.34499999999999997</v>
      </c>
      <c r="G217" s="5" cm="1">
        <f t="array" ref="G217">wet_bulb_temp(Таблица1[[#This Row],[temp]],Таблица1[[#This Row],[humidity_ratio]],Таблица1[[#This Row],[pressure_kpa]])</f>
        <v>27.614697997025615</v>
      </c>
      <c r="H217" s="5" cm="1">
        <f t="array" ref="H217">wet_bulb_temp_simple(Таблица1[[#This Row],[temp]],Таблица1[[#This Row],[humidity]])</f>
        <v>28.48042611062742</v>
      </c>
      <c r="I217" s="5">
        <f>IF(Таблица1[[#This Row],[wet_bulb_thermo]]+$F$1&lt;20,20,Таблица1[[#This Row],[wet_bulb_thermo]]+$F$1)</f>
        <v>37.614697997025615</v>
      </c>
      <c r="J217" s="9">
        <f>Таблица1[[#This Row],[Tcold]]+$I$1</f>
        <v>47.614697997025615</v>
      </c>
      <c r="K217" s="12" cm="1">
        <f t="array" ref="K217">evaporation(Таблица1[[#This Row],[Thot]],Таблица1[[#This Row],[Tcold]],Таблица1[[#This Row],[temp]],Таблица1[[#This Row],[humidity_ratio]],Таблица1[[#This Row],[pressure_kpa]])/$I$1</f>
        <v>1.6219690981180688E-3</v>
      </c>
      <c r="L217">
        <f>MONTH(Таблица1[[#This Row],[date]])</f>
        <v>7</v>
      </c>
      <c r="M217" t="str">
        <f>IF(AND(Таблица1[[#This Row],[month]]&gt;3, Таблица1[[#This Row],[month]]&lt;11),"SUMMER","WINTER")</f>
        <v>SUMMER</v>
      </c>
    </row>
    <row r="218" spans="1:13" x14ac:dyDescent="0.25">
      <c r="A218" s="2">
        <v>44400</v>
      </c>
      <c r="B218" s="5">
        <v>40.875</v>
      </c>
      <c r="C218" s="5">
        <v>742.58749999999998</v>
      </c>
      <c r="D218" s="5">
        <v>17</v>
      </c>
      <c r="E218" s="5">
        <f>Таблица1[[#This Row],[pressure]]/760*101325</f>
        <v>99003.524259868427</v>
      </c>
      <c r="F218" s="7">
        <f>Таблица1[[#This Row],[humidity]]/100</f>
        <v>0.17</v>
      </c>
      <c r="G218" s="5" cm="1">
        <f t="array" ref="G218">wet_bulb_temp(Таблица1[[#This Row],[temp]],Таблица1[[#This Row],[humidity_ratio]],Таблица1[[#This Row],[pressure_kpa]])</f>
        <v>21.494493295236577</v>
      </c>
      <c r="H218" s="5" cm="1">
        <f t="array" ref="H218">wet_bulb_temp_simple(Таблица1[[#This Row],[temp]],Таблица1[[#This Row],[humidity]])</f>
        <v>22.147961979990736</v>
      </c>
      <c r="I218" s="5">
        <f>IF(Таблица1[[#This Row],[wet_bulb_thermo]]+$F$1&lt;20,20,Таблица1[[#This Row],[wet_bulb_thermo]]+$F$1)</f>
        <v>31.494493295236577</v>
      </c>
      <c r="J218" s="9">
        <f>Таблица1[[#This Row],[Tcold]]+$I$1</f>
        <v>41.49449329523658</v>
      </c>
      <c r="K218" s="12" cm="1">
        <f t="array" ref="K218">evaporation(Таблица1[[#This Row],[Thot]],Таблица1[[#This Row],[Tcold]],Таблица1[[#This Row],[temp]],Таблица1[[#This Row],[humidity_ratio]],Таблица1[[#This Row],[pressure_kpa]])/$I$1</f>
        <v>1.6762904586803574E-3</v>
      </c>
      <c r="L218">
        <f>MONTH(Таблица1[[#This Row],[date]])</f>
        <v>7</v>
      </c>
      <c r="M218" t="str">
        <f>IF(AND(Таблица1[[#This Row],[month]]&gt;3, Таблица1[[#This Row],[month]]&lt;11),"SUMMER","WINTER")</f>
        <v>SUMMER</v>
      </c>
    </row>
    <row r="219" spans="1:13" x14ac:dyDescent="0.25">
      <c r="A219" s="2">
        <v>44401</v>
      </c>
      <c r="B219" s="5">
        <v>40.5625</v>
      </c>
      <c r="C219" s="5">
        <v>743.55</v>
      </c>
      <c r="D219" s="5">
        <v>20.25</v>
      </c>
      <c r="E219" s="5">
        <f>Таблица1[[#This Row],[pressure]]/760*101325</f>
        <v>99131.84703947368</v>
      </c>
      <c r="F219" s="7">
        <f>Таблица1[[#This Row],[humidity]]/100</f>
        <v>0.20250000000000001</v>
      </c>
      <c r="G219" s="5" cm="1">
        <f t="array" ref="G219">wet_bulb_temp(Таблица1[[#This Row],[temp]],Таблица1[[#This Row],[humidity_ratio]],Таблица1[[#This Row],[pressure_kpa]])</f>
        <v>22.406317745886685</v>
      </c>
      <c r="H219" s="5" cm="1">
        <f t="array" ref="H219">wet_bulb_temp_simple(Таблица1[[#This Row],[temp]],Таблица1[[#This Row],[humidity]])</f>
        <v>23.177674928746498</v>
      </c>
      <c r="I219" s="5">
        <f>IF(Таблица1[[#This Row],[wet_bulb_thermo]]+$F$1&lt;20,20,Таблица1[[#This Row],[wet_bulb_thermo]]+$F$1)</f>
        <v>32.406317745886682</v>
      </c>
      <c r="J219" s="9">
        <f>Таблица1[[#This Row],[Tcold]]+$I$1</f>
        <v>42.406317745886682</v>
      </c>
      <c r="K219" s="12" cm="1">
        <f t="array" ref="K219">evaporation(Таблица1[[#This Row],[Thot]],Таблица1[[#This Row],[Tcold]],Таблица1[[#This Row],[temp]],Таблица1[[#This Row],[humidity_ratio]],Таблица1[[#This Row],[pressure_kpa]])/$I$1</f>
        <v>1.6597265743507051E-3</v>
      </c>
      <c r="L219">
        <f>MONTH(Таблица1[[#This Row],[date]])</f>
        <v>7</v>
      </c>
      <c r="M219" t="str">
        <f>IF(AND(Таблица1[[#This Row],[month]]&gt;3, Таблица1[[#This Row],[month]]&lt;11),"SUMMER","WINTER")</f>
        <v>SUMMER</v>
      </c>
    </row>
    <row r="220" spans="1:13" x14ac:dyDescent="0.25">
      <c r="A220" s="2">
        <v>44402</v>
      </c>
      <c r="B220" s="5">
        <v>41.174999999999997</v>
      </c>
      <c r="C220" s="5">
        <v>745.33749999999998</v>
      </c>
      <c r="D220" s="5">
        <v>25.375</v>
      </c>
      <c r="E220" s="5">
        <f>Таблица1[[#This Row],[pressure]]/760*101325</f>
        <v>99370.16077302632</v>
      </c>
      <c r="F220" s="7">
        <f>Таблица1[[#This Row],[humidity]]/100</f>
        <v>0.25374999999999998</v>
      </c>
      <c r="G220" s="5" cm="1">
        <f t="array" ref="G220">wet_bulb_temp(Таблица1[[#This Row],[temp]],Таблица1[[#This Row],[humidity_ratio]],Таблица1[[#This Row],[pressure_kpa]])</f>
        <v>24.462749815165541</v>
      </c>
      <c r="H220" s="5" cm="1">
        <f t="array" ref="H220">wet_bulb_temp_simple(Таблица1[[#This Row],[temp]],Таблица1[[#This Row],[humidity]])</f>
        <v>25.36957564482195</v>
      </c>
      <c r="I220" s="5">
        <f>IF(Таблица1[[#This Row],[wet_bulb_thermo]]+$F$1&lt;20,20,Таблица1[[#This Row],[wet_bulb_thermo]]+$F$1)</f>
        <v>34.462749815165537</v>
      </c>
      <c r="J220" s="9">
        <f>Таблица1[[#This Row],[Tcold]]+$I$1</f>
        <v>44.462749815165537</v>
      </c>
      <c r="K220" s="12" cm="1">
        <f t="array" ref="K220">evaporation(Таблица1[[#This Row],[Thot]],Таблица1[[#This Row],[Tcold]],Таблица1[[#This Row],[temp]],Таблица1[[#This Row],[humidity_ratio]],Таблица1[[#This Row],[pressure_kpa]])/$I$1</f>
        <v>1.6441833525002614E-3</v>
      </c>
      <c r="L220">
        <f>MONTH(Таблица1[[#This Row],[date]])</f>
        <v>7</v>
      </c>
      <c r="M220" t="str">
        <f>IF(AND(Таблица1[[#This Row],[month]]&gt;3, Таблица1[[#This Row],[month]]&lt;11),"SUMMER","WINTER")</f>
        <v>SUMMER</v>
      </c>
    </row>
    <row r="221" spans="1:13" x14ac:dyDescent="0.25">
      <c r="A221" s="2">
        <v>44403</v>
      </c>
      <c r="B221" s="5">
        <v>42.087499999999999</v>
      </c>
      <c r="C221" s="5">
        <v>745.125</v>
      </c>
      <c r="D221" s="5">
        <v>31.5</v>
      </c>
      <c r="E221" s="5">
        <f>Таблица1[[#This Row],[pressure]]/760*101325</f>
        <v>99341.82976973684</v>
      </c>
      <c r="F221" s="7">
        <f>Таблица1[[#This Row],[humidity]]/100</f>
        <v>0.315</v>
      </c>
      <c r="G221" s="5" cm="1">
        <f t="array" ref="G221">wet_bulb_temp(Таблица1[[#This Row],[temp]],Таблица1[[#This Row],[humidity_ratio]],Таблица1[[#This Row],[pressure_kpa]])</f>
        <v>27.013190752856421</v>
      </c>
      <c r="H221" s="5" cm="1">
        <f t="array" ref="H221">wet_bulb_temp_simple(Таблица1[[#This Row],[temp]],Таблица1[[#This Row],[humidity]])</f>
        <v>27.943201168133413</v>
      </c>
      <c r="I221" s="5">
        <f>IF(Таблица1[[#This Row],[wet_bulb_thermo]]+$F$1&lt;20,20,Таблица1[[#This Row],[wet_bulb_thermo]]+$F$1)</f>
        <v>37.013190752856417</v>
      </c>
      <c r="J221" s="9">
        <f>Таблица1[[#This Row],[Tcold]]+$I$1</f>
        <v>47.013190752856417</v>
      </c>
      <c r="K221" s="12" cm="1">
        <f t="array" ref="K221">evaporation(Таблица1[[#This Row],[Thot]],Таблица1[[#This Row],[Tcold]],Таблица1[[#This Row],[temp]],Таблица1[[#This Row],[humidity_ratio]],Таблица1[[#This Row],[pressure_kpa]])/$I$1</f>
        <v>1.6312380263351853E-3</v>
      </c>
      <c r="L221">
        <f>MONTH(Таблица1[[#This Row],[date]])</f>
        <v>7</v>
      </c>
      <c r="M221" t="str">
        <f>IF(AND(Таблица1[[#This Row],[month]]&gt;3, Таблица1[[#This Row],[month]]&lt;11),"SUMMER","WINTER")</f>
        <v>SUMMER</v>
      </c>
    </row>
    <row r="222" spans="1:13" x14ac:dyDescent="0.25">
      <c r="A222" s="2">
        <v>44404</v>
      </c>
      <c r="B222" s="5">
        <v>42.8</v>
      </c>
      <c r="C222" s="5">
        <v>743.67499999999995</v>
      </c>
      <c r="D222" s="5">
        <v>20.625</v>
      </c>
      <c r="E222" s="5">
        <f>Таблица1[[#This Row],[pressure]]/760*101325</f>
        <v>99148.51233552632</v>
      </c>
      <c r="F222" s="7">
        <f>Таблица1[[#This Row],[humidity]]/100</f>
        <v>0.20624999999999999</v>
      </c>
      <c r="G222" s="5" cm="1">
        <f t="array" ref="G222">wet_bulb_temp(Таблица1[[#This Row],[temp]],Таблица1[[#This Row],[humidity_ratio]],Таблица1[[#This Row],[pressure_kpa]])</f>
        <v>23.954853873361895</v>
      </c>
      <c r="H222" s="5" cm="1">
        <f t="array" ref="H222">wet_bulb_temp_simple(Таблица1[[#This Row],[temp]],Таблица1[[#This Row],[humidity]])</f>
        <v>24.847270941436761</v>
      </c>
      <c r="I222" s="5">
        <f>IF(Таблица1[[#This Row],[wet_bulb_thermo]]+$F$1&lt;20,20,Таблица1[[#This Row],[wet_bulb_thermo]]+$F$1)</f>
        <v>33.954853873361898</v>
      </c>
      <c r="J222" s="9">
        <f>Таблица1[[#This Row],[Tcold]]+$I$1</f>
        <v>43.954853873361898</v>
      </c>
      <c r="K222" s="12" cm="1">
        <f t="array" ref="K222">evaporation(Таблица1[[#This Row],[Thot]],Таблица1[[#This Row],[Tcold]],Таблица1[[#This Row],[temp]],Таблица1[[#This Row],[humidity_ratio]],Таблица1[[#This Row],[pressure_kpa]])/$I$1</f>
        <v>1.6710694875584902E-3</v>
      </c>
      <c r="L222">
        <f>MONTH(Таблица1[[#This Row],[date]])</f>
        <v>7</v>
      </c>
      <c r="M222" t="str">
        <f>IF(AND(Таблица1[[#This Row],[month]]&gt;3, Таблица1[[#This Row],[month]]&lt;11),"SUMMER","WINTER")</f>
        <v>SUMMER</v>
      </c>
    </row>
    <row r="223" spans="1:13" x14ac:dyDescent="0.25">
      <c r="A223" s="2">
        <v>44405</v>
      </c>
      <c r="B223" s="5">
        <v>41.662500000000001</v>
      </c>
      <c r="C223" s="5">
        <v>742.17499999999995</v>
      </c>
      <c r="D223" s="5">
        <v>17.125</v>
      </c>
      <c r="E223" s="5">
        <f>Таблица1[[#This Row],[pressure]]/760*101325</f>
        <v>98948.528782894733</v>
      </c>
      <c r="F223" s="7">
        <f>Таблица1[[#This Row],[humidity]]/100</f>
        <v>0.17125000000000001</v>
      </c>
      <c r="G223" s="5" cm="1">
        <f t="array" ref="G223">wet_bulb_temp(Таблица1[[#This Row],[temp]],Таблица1[[#This Row],[humidity_ratio]],Таблица1[[#This Row],[pressure_kpa]])</f>
        <v>22.015583357282562</v>
      </c>
      <c r="H223" s="5" cm="1">
        <f t="array" ref="H223">wet_bulb_temp_simple(Таблица1[[#This Row],[temp]],Таблица1[[#This Row],[humidity]])</f>
        <v>22.713145153848892</v>
      </c>
      <c r="I223" s="5">
        <f>IF(Таблица1[[#This Row],[wet_bulb_thermo]]+$F$1&lt;20,20,Таблица1[[#This Row],[wet_bulb_thermo]]+$F$1)</f>
        <v>32.015583357282566</v>
      </c>
      <c r="J223" s="9">
        <f>Таблица1[[#This Row],[Tcold]]+$I$1</f>
        <v>42.015583357282566</v>
      </c>
      <c r="K223" s="12" cm="1">
        <f t="array" ref="K223">evaporation(Таблица1[[#This Row],[Thot]],Таблица1[[#This Row],[Tcold]],Таблица1[[#This Row],[temp]],Таблица1[[#This Row],[humidity_ratio]],Таблица1[[#This Row],[pressure_kpa]])/$I$1</f>
        <v>1.6804971665197346E-3</v>
      </c>
      <c r="L223">
        <f>MONTH(Таблица1[[#This Row],[date]])</f>
        <v>7</v>
      </c>
      <c r="M223" t="str">
        <f>IF(AND(Таблица1[[#This Row],[month]]&gt;3, Таблица1[[#This Row],[month]]&lt;11),"SUMMER","WINTER")</f>
        <v>SUMMER</v>
      </c>
    </row>
    <row r="224" spans="1:13" x14ac:dyDescent="0.25">
      <c r="A224" s="2">
        <v>44406</v>
      </c>
      <c r="B224" s="5">
        <v>39.212499999999999</v>
      </c>
      <c r="C224" s="5">
        <v>743.32500000000005</v>
      </c>
      <c r="D224" s="5">
        <v>14.5</v>
      </c>
      <c r="E224" s="5">
        <f>Таблица1[[#This Row],[pressure]]/760*101325</f>
        <v>99101.849506578947</v>
      </c>
      <c r="F224" s="7">
        <f>Таблица1[[#This Row],[humidity]]/100</f>
        <v>0.14499999999999999</v>
      </c>
      <c r="G224" s="5" cm="1">
        <f t="array" ref="G224">wet_bulb_temp(Таблица1[[#This Row],[temp]],Таблица1[[#This Row],[humidity_ratio]],Таблица1[[#This Row],[pressure_kpa]])</f>
        <v>19.644853178013161</v>
      </c>
      <c r="H224" s="5" cm="1">
        <f t="array" ref="H224">wet_bulb_temp_simple(Таблица1[[#This Row],[temp]],Таблица1[[#This Row],[humidity]])</f>
        <v>20.064483692775038</v>
      </c>
      <c r="I224" s="5">
        <f>IF(Таблица1[[#This Row],[wet_bulb_thermo]]+$F$1&lt;20,20,Таблица1[[#This Row],[wet_bulb_thermo]]+$F$1)</f>
        <v>29.644853178013161</v>
      </c>
      <c r="J224" s="9">
        <f>Таблица1[[#This Row],[Tcold]]+$I$1</f>
        <v>39.644853178013165</v>
      </c>
      <c r="K224" s="12" cm="1">
        <f t="array" ref="K224">evaporation(Таблица1[[#This Row],[Thot]],Таблица1[[#This Row],[Tcold]],Таблица1[[#This Row],[temp]],Таблица1[[#This Row],[humidity_ratio]],Таблица1[[#This Row],[pressure_kpa]])/$I$1</f>
        <v>1.6778413223135738E-3</v>
      </c>
      <c r="L224">
        <f>MONTH(Таблица1[[#This Row],[date]])</f>
        <v>7</v>
      </c>
      <c r="M224" t="str">
        <f>IF(AND(Таблица1[[#This Row],[month]]&gt;3, Таблица1[[#This Row],[month]]&lt;11),"SUMMER","WINTER")</f>
        <v>SUMMER</v>
      </c>
    </row>
    <row r="225" spans="1:13" x14ac:dyDescent="0.25">
      <c r="A225" s="2">
        <v>44407</v>
      </c>
      <c r="B225" s="5">
        <v>39.512500000000003</v>
      </c>
      <c r="C225" s="5">
        <v>744</v>
      </c>
      <c r="D225" s="5">
        <v>18</v>
      </c>
      <c r="E225" s="5">
        <f>Таблица1[[#This Row],[pressure]]/760*101325</f>
        <v>99191.84210526316</v>
      </c>
      <c r="F225" s="7">
        <f>Таблица1[[#This Row],[humidity]]/100</f>
        <v>0.18</v>
      </c>
      <c r="G225" s="5" cm="1">
        <f t="array" ref="G225">wet_bulb_temp(Таблица1[[#This Row],[temp]],Таблица1[[#This Row],[humidity_ratio]],Таблица1[[#This Row],[pressure_kpa]])</f>
        <v>21.000337319957783</v>
      </c>
      <c r="H225" s="5" cm="1">
        <f t="array" ref="H225">wet_bulb_temp_simple(Таблица1[[#This Row],[temp]],Таблица1[[#This Row],[humidity]])</f>
        <v>21.639826227671147</v>
      </c>
      <c r="I225" s="5">
        <f>IF(Таблица1[[#This Row],[wet_bulb_thermo]]+$F$1&lt;20,20,Таблица1[[#This Row],[wet_bulb_thermo]]+$F$1)</f>
        <v>31.000337319957783</v>
      </c>
      <c r="J225" s="9">
        <f>Таблица1[[#This Row],[Tcold]]+$I$1</f>
        <v>41.000337319957779</v>
      </c>
      <c r="K225" s="12" cm="1">
        <f t="array" ref="K225">evaporation(Таблица1[[#This Row],[Thot]],Таблица1[[#This Row],[Tcold]],Таблица1[[#This Row],[temp]],Таблица1[[#This Row],[humidity_ratio]],Таблица1[[#This Row],[pressure_kpa]])/$I$1</f>
        <v>1.6628522367260657E-3</v>
      </c>
      <c r="L225">
        <f>MONTH(Таблица1[[#This Row],[date]])</f>
        <v>7</v>
      </c>
      <c r="M225" t="str">
        <f>IF(AND(Таблица1[[#This Row],[month]]&gt;3, Таблица1[[#This Row],[month]]&lt;11),"SUMMER","WINTER")</f>
        <v>SUMMER</v>
      </c>
    </row>
    <row r="226" spans="1:13" x14ac:dyDescent="0.25">
      <c r="A226" s="2">
        <v>44408</v>
      </c>
      <c r="B226" s="5">
        <v>39.712499999999999</v>
      </c>
      <c r="C226" s="5">
        <v>745.1875</v>
      </c>
      <c r="D226" s="5">
        <v>17</v>
      </c>
      <c r="E226" s="5">
        <f>Таблица1[[#This Row],[pressure]]/760*101325</f>
        <v>99350.16241776316</v>
      </c>
      <c r="F226" s="7">
        <f>Таблица1[[#This Row],[humidity]]/100</f>
        <v>0.17</v>
      </c>
      <c r="G226" s="5" cm="1">
        <f t="array" ref="G226">wet_bulb_temp(Таблица1[[#This Row],[temp]],Таблица1[[#This Row],[humidity_ratio]],Таблица1[[#This Row],[pressure_kpa]])</f>
        <v>20.776712911640679</v>
      </c>
      <c r="H226" s="5" cm="1">
        <f t="array" ref="H226">wet_bulb_temp_simple(Таблица1[[#This Row],[temp]],Таблица1[[#This Row],[humidity]])</f>
        <v>21.388724202863084</v>
      </c>
      <c r="I226" s="5">
        <f>IF(Таблица1[[#This Row],[wet_bulb_thermo]]+$F$1&lt;20,20,Таблица1[[#This Row],[wet_bulb_thermo]]+$F$1)</f>
        <v>30.776712911640679</v>
      </c>
      <c r="J226" s="9">
        <f>Таблица1[[#This Row],[Tcold]]+$I$1</f>
        <v>40.776712911640679</v>
      </c>
      <c r="K226" s="12" cm="1">
        <f t="array" ref="K226">evaporation(Таблица1[[#This Row],[Thot]],Таблица1[[#This Row],[Tcold]],Таблица1[[#This Row],[temp]],Таблица1[[#This Row],[humidity_ratio]],Таблица1[[#This Row],[pressure_kpa]])/$I$1</f>
        <v>1.6689423859789607E-3</v>
      </c>
      <c r="L226">
        <f>MONTH(Таблица1[[#This Row],[date]])</f>
        <v>7</v>
      </c>
      <c r="M226" t="str">
        <f>IF(AND(Таблица1[[#This Row],[month]]&gt;3, Таблица1[[#This Row],[month]]&lt;11),"SUMMER","WINTER")</f>
        <v>SUMMER</v>
      </c>
    </row>
    <row r="227" spans="1:13" x14ac:dyDescent="0.25">
      <c r="A227" s="2">
        <v>44409</v>
      </c>
      <c r="B227" s="5">
        <v>38.712499999999999</v>
      </c>
      <c r="C227" s="5">
        <v>745.875</v>
      </c>
      <c r="D227" s="5">
        <v>25.25</v>
      </c>
      <c r="E227" s="5">
        <f>Таблица1[[#This Row],[pressure]]/760*101325</f>
        <v>99441.821546052626</v>
      </c>
      <c r="F227" s="7">
        <f>Таблица1[[#This Row],[humidity]]/100</f>
        <v>0.2525</v>
      </c>
      <c r="G227" s="5" cm="1">
        <f t="array" ref="G227">wet_bulb_temp(Таблица1[[#This Row],[temp]],Таблица1[[#This Row],[humidity_ratio]],Таблица1[[#This Row],[pressure_kpa]])</f>
        <v>22.751927454616926</v>
      </c>
      <c r="H227" s="5" cm="1">
        <f t="array" ref="H227">wet_bulb_temp_simple(Таблица1[[#This Row],[temp]],Таблица1[[#This Row],[humidity]])</f>
        <v>23.550478293903726</v>
      </c>
      <c r="I227" s="5">
        <f>IF(Таблица1[[#This Row],[wet_bulb_thermo]]+$F$1&lt;20,20,Таблица1[[#This Row],[wet_bulb_thermo]]+$F$1)</f>
        <v>32.751927454616926</v>
      </c>
      <c r="J227" s="9">
        <f>Таблица1[[#This Row],[Tcold]]+$I$1</f>
        <v>42.751927454616926</v>
      </c>
      <c r="K227" s="12" cm="1">
        <f t="array" ref="K227">evaporation(Таблица1[[#This Row],[Thot]],Таблица1[[#This Row],[Tcold]],Таблица1[[#This Row],[temp]],Таблица1[[#This Row],[humidity_ratio]],Таблица1[[#This Row],[pressure_kpa]])/$I$1</f>
        <v>1.6296321652610815E-3</v>
      </c>
      <c r="L227">
        <f>MONTH(Таблица1[[#This Row],[date]])</f>
        <v>8</v>
      </c>
      <c r="M227" t="str">
        <f>IF(AND(Таблица1[[#This Row],[month]]&gt;3, Таблица1[[#This Row],[month]]&lt;11),"SUMMER","WINTER")</f>
        <v>SUMMER</v>
      </c>
    </row>
    <row r="228" spans="1:13" x14ac:dyDescent="0.25">
      <c r="A228" s="2">
        <v>44410</v>
      </c>
      <c r="B228" s="5">
        <v>39.1875</v>
      </c>
      <c r="C228" s="5">
        <v>744.63750000000005</v>
      </c>
      <c r="D228" s="5">
        <v>28.25</v>
      </c>
      <c r="E228" s="5">
        <f>Таблица1[[#This Row],[pressure]]/760*101325</f>
        <v>99276.835115131573</v>
      </c>
      <c r="F228" s="7">
        <f>Таблица1[[#This Row],[humidity]]/100</f>
        <v>0.28249999999999997</v>
      </c>
      <c r="G228" s="5" cm="1">
        <f t="array" ref="G228">wet_bulb_temp(Таблица1[[#This Row],[temp]],Таблица1[[#This Row],[humidity_ratio]],Таблица1[[#This Row],[pressure_kpa]])</f>
        <v>23.979495304185289</v>
      </c>
      <c r="H228" s="5" cm="1">
        <f t="array" ref="H228">wet_bulb_temp_simple(Таблица1[[#This Row],[temp]],Таблица1[[#This Row],[humidity]])</f>
        <v>24.801046983267312</v>
      </c>
      <c r="I228" s="5">
        <f>IF(Таблица1[[#This Row],[wet_bulb_thermo]]+$F$1&lt;20,20,Таблица1[[#This Row],[wet_bulb_thermo]]+$F$1)</f>
        <v>33.979495304185292</v>
      </c>
      <c r="J228" s="9">
        <f>Таблица1[[#This Row],[Tcold]]+$I$1</f>
        <v>43.979495304185292</v>
      </c>
      <c r="K228" s="12" cm="1">
        <f t="array" ref="K228">evaporation(Таблица1[[#This Row],[Thot]],Таблица1[[#This Row],[Tcold]],Таблица1[[#This Row],[temp]],Таблица1[[#This Row],[humidity_ratio]],Таблица1[[#This Row],[pressure_kpa]])/$I$1</f>
        <v>1.6234095251566171E-3</v>
      </c>
      <c r="L228">
        <f>MONTH(Таблица1[[#This Row],[date]])</f>
        <v>8</v>
      </c>
      <c r="M228" t="str">
        <f>IF(AND(Таблица1[[#This Row],[month]]&gt;3, Таблица1[[#This Row],[month]]&lt;11),"SUMMER","WINTER")</f>
        <v>SUMMER</v>
      </c>
    </row>
    <row r="229" spans="1:13" x14ac:dyDescent="0.25">
      <c r="A229" s="2">
        <v>44411</v>
      </c>
      <c r="B229" s="5">
        <v>39.049999999999997</v>
      </c>
      <c r="C229" s="5">
        <v>745.85</v>
      </c>
      <c r="D229" s="5">
        <v>27.375</v>
      </c>
      <c r="E229" s="5">
        <f>Таблица1[[#This Row],[pressure]]/760*101325</f>
        <v>99438.488486842107</v>
      </c>
      <c r="F229" s="7">
        <f>Таблица1[[#This Row],[humidity]]/100</f>
        <v>0.27374999999999999</v>
      </c>
      <c r="G229" s="5" cm="1">
        <f t="array" ref="G229">wet_bulb_temp(Таблица1[[#This Row],[temp]],Таблица1[[#This Row],[humidity_ratio]],Таблица1[[#This Row],[pressure_kpa]])</f>
        <v>23.613317051341678</v>
      </c>
      <c r="H229" s="5" cm="1">
        <f t="array" ref="H229">wet_bulb_temp_simple(Таблица1[[#This Row],[temp]],Таблица1[[#This Row],[humidity]])</f>
        <v>24.440700599357662</v>
      </c>
      <c r="I229" s="5">
        <f>IF(Таблица1[[#This Row],[wet_bulb_thermo]]+$F$1&lt;20,20,Таблица1[[#This Row],[wet_bulb_thermo]]+$F$1)</f>
        <v>33.613317051341681</v>
      </c>
      <c r="J229" s="9">
        <f>Таблица1[[#This Row],[Tcold]]+$I$1</f>
        <v>43.613317051341681</v>
      </c>
      <c r="K229" s="12" cm="1">
        <f t="array" ref="K229">evaporation(Таблица1[[#This Row],[Thot]],Таблица1[[#This Row],[Tcold]],Таблица1[[#This Row],[temp]],Таблица1[[#This Row],[humidity_ratio]],Таблица1[[#This Row],[pressure_kpa]])/$I$1</f>
        <v>1.6251227302837806E-3</v>
      </c>
      <c r="L229">
        <f>MONTH(Таблица1[[#This Row],[date]])</f>
        <v>8</v>
      </c>
      <c r="M229" t="str">
        <f>IF(AND(Таблица1[[#This Row],[month]]&gt;3, Таблица1[[#This Row],[month]]&lt;11),"SUMMER","WINTER")</f>
        <v>SUMMER</v>
      </c>
    </row>
    <row r="230" spans="1:13" x14ac:dyDescent="0.25">
      <c r="A230" s="2">
        <v>44412</v>
      </c>
      <c r="B230" s="5">
        <v>40.15</v>
      </c>
      <c r="C230" s="5">
        <v>747.46249999999998</v>
      </c>
      <c r="D230" s="5">
        <v>16.875</v>
      </c>
      <c r="E230" s="5">
        <f>Таблица1[[#This Row],[pressure]]/760*101325</f>
        <v>99653.470805921053</v>
      </c>
      <c r="F230" s="7">
        <f>Таблица1[[#This Row],[humidity]]/100</f>
        <v>0.16875000000000001</v>
      </c>
      <c r="G230" s="5" cm="1">
        <f t="array" ref="G230">wet_bulb_temp(Таблица1[[#This Row],[temp]],Таблица1[[#This Row],[humidity_ratio]],Таблица1[[#This Row],[pressure_kpa]])</f>
        <v>20.978498422857914</v>
      </c>
      <c r="H230" s="5" cm="1">
        <f t="array" ref="H230">wet_bulb_temp_simple(Таблица1[[#This Row],[temp]],Таблица1[[#This Row],[humidity]])</f>
        <v>21.625209059804309</v>
      </c>
      <c r="I230" s="5">
        <f>IF(Таблица1[[#This Row],[wet_bulb_thermo]]+$F$1&lt;20,20,Таблица1[[#This Row],[wet_bulb_thermo]]+$F$1)</f>
        <v>30.978498422857914</v>
      </c>
      <c r="J230" s="9">
        <f>Таблица1[[#This Row],[Tcold]]+$I$1</f>
        <v>40.978498422857911</v>
      </c>
      <c r="K230" s="12" cm="1">
        <f t="array" ref="K230">evaporation(Таблица1[[#This Row],[Thot]],Таблица1[[#This Row],[Tcold]],Таблица1[[#This Row],[temp]],Таблица1[[#This Row],[humidity_ratio]],Таблица1[[#This Row],[pressure_kpa]])/$I$1</f>
        <v>1.6726607273605241E-3</v>
      </c>
      <c r="L230">
        <f>MONTH(Таблица1[[#This Row],[date]])</f>
        <v>8</v>
      </c>
      <c r="M230" t="str">
        <f>IF(AND(Таблица1[[#This Row],[month]]&gt;3, Таблица1[[#This Row],[month]]&lt;11),"SUMMER","WINTER")</f>
        <v>SUMMER</v>
      </c>
    </row>
    <row r="231" spans="1:13" x14ac:dyDescent="0.25">
      <c r="A231" s="2">
        <v>44413</v>
      </c>
      <c r="B231" s="5">
        <v>39.674999999999997</v>
      </c>
      <c r="C231" s="5">
        <v>746.22500000000002</v>
      </c>
      <c r="D231" s="5">
        <v>20.875</v>
      </c>
      <c r="E231" s="5">
        <f>Таблица1[[#This Row],[pressure]]/760*101325</f>
        <v>99488.484375</v>
      </c>
      <c r="F231" s="7">
        <f>Таблица1[[#This Row],[humidity]]/100</f>
        <v>0.20874999999999999</v>
      </c>
      <c r="G231" s="5" cm="1">
        <f t="array" ref="G231">wet_bulb_temp(Таблица1[[#This Row],[temp]],Таблица1[[#This Row],[humidity_ratio]],Таблица1[[#This Row],[pressure_kpa]])</f>
        <v>22.023637923084266</v>
      </c>
      <c r="H231" s="5" cm="1">
        <f t="array" ref="H231">wet_bulb_temp_simple(Таблица1[[#This Row],[temp]],Таблица1[[#This Row],[humidity]])</f>
        <v>22.792490042157091</v>
      </c>
      <c r="I231" s="5">
        <f>IF(Таблица1[[#This Row],[wet_bulb_thermo]]+$F$1&lt;20,20,Таблица1[[#This Row],[wet_bulb_thermo]]+$F$1)</f>
        <v>32.023637923084266</v>
      </c>
      <c r="J231" s="9">
        <f>Таблица1[[#This Row],[Tcold]]+$I$1</f>
        <v>42.023637923084266</v>
      </c>
      <c r="K231" s="12" cm="1">
        <f t="array" ref="K231">evaporation(Таблица1[[#This Row],[Thot]],Таблица1[[#This Row],[Tcold]],Таблица1[[#This Row],[temp]],Таблица1[[#This Row],[humidity_ratio]],Таблица1[[#This Row],[pressure_kpa]])/$I$1</f>
        <v>1.651753022714467E-3</v>
      </c>
      <c r="L231">
        <f>MONTH(Таблица1[[#This Row],[date]])</f>
        <v>8</v>
      </c>
      <c r="M231" t="str">
        <f>IF(AND(Таблица1[[#This Row],[month]]&gt;3, Таблица1[[#This Row],[month]]&lt;11),"SUMMER","WINTER")</f>
        <v>SUMMER</v>
      </c>
    </row>
    <row r="232" spans="1:13" x14ac:dyDescent="0.25">
      <c r="A232" s="2">
        <v>44414</v>
      </c>
      <c r="B232" s="5">
        <v>38.774999999999999</v>
      </c>
      <c r="C232" s="5">
        <v>745.625</v>
      </c>
      <c r="D232" s="5">
        <v>22</v>
      </c>
      <c r="E232" s="5">
        <f>Таблица1[[#This Row],[pressure]]/760*101325</f>
        <v>99408.490953947374</v>
      </c>
      <c r="F232" s="7">
        <f>Таблица1[[#This Row],[humidity]]/100</f>
        <v>0.22</v>
      </c>
      <c r="G232" s="5" cm="1">
        <f t="array" ref="G232">wet_bulb_temp(Таблица1[[#This Row],[temp]],Таблица1[[#This Row],[humidity_ratio]],Таблица1[[#This Row],[pressure_kpa]])</f>
        <v>21.806647296799447</v>
      </c>
      <c r="H232" s="5" cm="1">
        <f t="array" ref="H232">wet_bulb_temp_simple(Таблица1[[#This Row],[temp]],Таблица1[[#This Row],[humidity]])</f>
        <v>22.553385187764334</v>
      </c>
      <c r="I232" s="5">
        <f>IF(Таблица1[[#This Row],[wet_bulb_thermo]]+$F$1&lt;20,20,Таблица1[[#This Row],[wet_bulb_thermo]]+$F$1)</f>
        <v>31.806647296799447</v>
      </c>
      <c r="J232" s="9">
        <f>Таблица1[[#This Row],[Tcold]]+$I$1</f>
        <v>41.806647296799447</v>
      </c>
      <c r="K232" s="12" cm="1">
        <f t="array" ref="K232">evaporation(Таблица1[[#This Row],[Thot]],Таблица1[[#This Row],[Tcold]],Таблица1[[#This Row],[temp]],Таблица1[[#This Row],[humidity_ratio]],Таблица1[[#This Row],[pressure_kpa]])/$I$1</f>
        <v>1.6414684591224929E-3</v>
      </c>
      <c r="L232">
        <f>MONTH(Таблица1[[#This Row],[date]])</f>
        <v>8</v>
      </c>
      <c r="M232" t="str">
        <f>IF(AND(Таблица1[[#This Row],[month]]&gt;3, Таблица1[[#This Row],[month]]&lt;11),"SUMMER","WINTER")</f>
        <v>SUMMER</v>
      </c>
    </row>
    <row r="233" spans="1:13" x14ac:dyDescent="0.25">
      <c r="A233" s="2">
        <v>44415</v>
      </c>
      <c r="B233" s="5">
        <v>39.5625</v>
      </c>
      <c r="C233" s="5">
        <v>746.67499999999995</v>
      </c>
      <c r="D233" s="5">
        <v>25.125</v>
      </c>
      <c r="E233" s="5">
        <f>Таблица1[[#This Row],[pressure]]/760*101325</f>
        <v>99548.479440789466</v>
      </c>
      <c r="F233" s="7">
        <f>Таблица1[[#This Row],[humidity]]/100</f>
        <v>0.25124999999999997</v>
      </c>
      <c r="G233" s="5" cm="1">
        <f t="array" ref="G233">wet_bulb_temp(Таблица1[[#This Row],[temp]],Таблица1[[#This Row],[humidity_ratio]],Таблица1[[#This Row],[pressure_kpa]])</f>
        <v>23.279673441813618</v>
      </c>
      <c r="H233" s="5" cm="1">
        <f t="array" ref="H233">wet_bulb_temp_simple(Таблица1[[#This Row],[temp]],Таблица1[[#This Row],[humidity]])</f>
        <v>24.124894627044526</v>
      </c>
      <c r="I233" s="5">
        <f>IF(Таблица1[[#This Row],[wet_bulb_thermo]]+$F$1&lt;20,20,Таблица1[[#This Row],[wet_bulb_thermo]]+$F$1)</f>
        <v>33.279673441813614</v>
      </c>
      <c r="J233" s="9">
        <f>Таблица1[[#This Row],[Tcold]]+$I$1</f>
        <v>43.279673441813614</v>
      </c>
      <c r="K233" s="12" cm="1">
        <f t="array" ref="K233">evaporation(Таблица1[[#This Row],[Thot]],Таблица1[[#This Row],[Tcold]],Таблица1[[#This Row],[temp]],Таблица1[[#This Row],[humidity_ratio]],Таблица1[[#This Row],[pressure_kpa]])/$I$1</f>
        <v>1.6354597321387703E-3</v>
      </c>
      <c r="L233">
        <f>MONTH(Таблица1[[#This Row],[date]])</f>
        <v>8</v>
      </c>
      <c r="M233" t="str">
        <f>IF(AND(Таблица1[[#This Row],[month]]&gt;3, Таблица1[[#This Row],[month]]&lt;11),"SUMMER","WINTER")</f>
        <v>SUMMER</v>
      </c>
    </row>
    <row r="234" spans="1:13" x14ac:dyDescent="0.25">
      <c r="A234" s="2">
        <v>44416</v>
      </c>
      <c r="B234" s="5">
        <v>41.2</v>
      </c>
      <c r="C234" s="5">
        <v>748.47500000000002</v>
      </c>
      <c r="D234" s="5">
        <v>18.375</v>
      </c>
      <c r="E234" s="5">
        <f>Таблица1[[#This Row],[pressure]]/760*101325</f>
        <v>99788.459703947374</v>
      </c>
      <c r="F234" s="7">
        <f>Таблица1[[#This Row],[humidity]]/100</f>
        <v>0.18375</v>
      </c>
      <c r="G234" s="5" cm="1">
        <f t="array" ref="G234">wet_bulb_temp(Таблица1[[#This Row],[temp]],Таблица1[[#This Row],[humidity_ratio]],Таблица1[[#This Row],[pressure_kpa]])</f>
        <v>22.122458970744074</v>
      </c>
      <c r="H234" s="5" cm="1">
        <f t="array" ref="H234">wet_bulb_temp_simple(Таблица1[[#This Row],[temp]],Таблица1[[#This Row],[humidity]])</f>
        <v>22.903920122618334</v>
      </c>
      <c r="I234" s="5">
        <f>IF(Таблица1[[#This Row],[wet_bulb_thermo]]+$F$1&lt;20,20,Таблица1[[#This Row],[wet_bulb_thermo]]+$F$1)</f>
        <v>32.122458970744077</v>
      </c>
      <c r="J234" s="9">
        <f>Таблица1[[#This Row],[Tcold]]+$I$1</f>
        <v>42.122458970744077</v>
      </c>
      <c r="K234" s="12" cm="1">
        <f t="array" ref="K234">evaporation(Таблица1[[#This Row],[Thot]],Таблица1[[#This Row],[Tcold]],Таблица1[[#This Row],[temp]],Таблица1[[#This Row],[humidity_ratio]],Таблица1[[#This Row],[pressure_kpa]])/$I$1</f>
        <v>1.6723133640205382E-3</v>
      </c>
      <c r="L234">
        <f>MONTH(Таблица1[[#This Row],[date]])</f>
        <v>8</v>
      </c>
      <c r="M234" t="str">
        <f>IF(AND(Таблица1[[#This Row],[month]]&gt;3, Таблица1[[#This Row],[month]]&lt;11),"SUMMER","WINTER")</f>
        <v>SUMMER</v>
      </c>
    </row>
    <row r="235" spans="1:13" x14ac:dyDescent="0.25">
      <c r="A235" s="2">
        <v>44417</v>
      </c>
      <c r="B235" s="5">
        <v>39.287500000000001</v>
      </c>
      <c r="C235" s="5">
        <v>748.55</v>
      </c>
      <c r="D235" s="5">
        <v>18.375</v>
      </c>
      <c r="E235" s="5">
        <f>Таблица1[[#This Row],[pressure]]/760*101325</f>
        <v>99798.458881578932</v>
      </c>
      <c r="F235" s="7">
        <f>Таблица1[[#This Row],[humidity]]/100</f>
        <v>0.18375</v>
      </c>
      <c r="G235" s="5" cm="1">
        <f t="array" ref="G235">wet_bulb_temp(Таблица1[[#This Row],[temp]],Таблица1[[#This Row],[humidity_ratio]],Таблица1[[#This Row],[pressure_kpa]])</f>
        <v>20.949913442399943</v>
      </c>
      <c r="H235" s="5" cm="1">
        <f t="array" ref="H235">wet_bulb_temp_simple(Таблица1[[#This Row],[temp]],Таблица1[[#This Row],[humidity]])</f>
        <v>21.630389201000391</v>
      </c>
      <c r="I235" s="5">
        <f>IF(Таблица1[[#This Row],[wet_bulb_thermo]]+$F$1&lt;20,20,Таблица1[[#This Row],[wet_bulb_thermo]]+$F$1)</f>
        <v>30.949913442399943</v>
      </c>
      <c r="J235" s="9">
        <f>Таблица1[[#This Row],[Tcold]]+$I$1</f>
        <v>40.949913442399946</v>
      </c>
      <c r="K235" s="12" cm="1">
        <f t="array" ref="K235">evaporation(Таблица1[[#This Row],[Thot]],Таблица1[[#This Row],[Tcold]],Таблица1[[#This Row],[temp]],Таблица1[[#This Row],[humidity_ratio]],Таблица1[[#This Row],[pressure_kpa]])/$I$1</f>
        <v>1.6599626011969937E-3</v>
      </c>
      <c r="L235">
        <f>MONTH(Таблица1[[#This Row],[date]])</f>
        <v>8</v>
      </c>
      <c r="M235" t="str">
        <f>IF(AND(Таблица1[[#This Row],[month]]&gt;3, Таблица1[[#This Row],[month]]&lt;11),"SUMMER","WINTER")</f>
        <v>SUMMER</v>
      </c>
    </row>
    <row r="236" spans="1:13" x14ac:dyDescent="0.25">
      <c r="A236" s="2">
        <v>44418</v>
      </c>
      <c r="B236" s="5">
        <v>40.674999999999997</v>
      </c>
      <c r="C236" s="5">
        <v>747.23749999999995</v>
      </c>
      <c r="D236" s="5">
        <v>14.5</v>
      </c>
      <c r="E236" s="5">
        <f>Таблица1[[#This Row],[pressure]]/760*101325</f>
        <v>99623.473273026306</v>
      </c>
      <c r="F236" s="7">
        <f>Таблица1[[#This Row],[humidity]]/100</f>
        <v>0.14499999999999999</v>
      </c>
      <c r="G236" s="5" cm="1">
        <f t="array" ref="G236">wet_bulb_temp(Таблица1[[#This Row],[temp]],Таблица1[[#This Row],[humidity_ratio]],Таблица1[[#This Row],[pressure_kpa]])</f>
        <v>20.45555737092042</v>
      </c>
      <c r="H236" s="5" cm="1">
        <f t="array" ref="H236">wet_bulb_temp_simple(Таблица1[[#This Row],[temp]],Таблица1[[#This Row],[humidity]])</f>
        <v>20.983275308303433</v>
      </c>
      <c r="I236" s="5">
        <f>IF(Таблица1[[#This Row],[wet_bulb_thermo]]+$F$1&lt;20,20,Таблица1[[#This Row],[wet_bulb_thermo]]+$F$1)</f>
        <v>30.45555737092042</v>
      </c>
      <c r="J236" s="9">
        <f>Таблица1[[#This Row],[Tcold]]+$I$1</f>
        <v>40.455557370920417</v>
      </c>
      <c r="K236" s="12" cm="1">
        <f t="array" ref="K236">evaporation(Таблица1[[#This Row],[Thot]],Таблица1[[#This Row],[Tcold]],Таблица1[[#This Row],[temp]],Таблица1[[#This Row],[humidity_ratio]],Таблица1[[#This Row],[pressure_kpa]])/$I$1</f>
        <v>1.688412058043189E-3</v>
      </c>
      <c r="L236">
        <f>MONTH(Таблица1[[#This Row],[date]])</f>
        <v>8</v>
      </c>
      <c r="M236" t="str">
        <f>IF(AND(Таблица1[[#This Row],[month]]&gt;3, Таблица1[[#This Row],[month]]&lt;11),"SUMMER","WINTER")</f>
        <v>SUMMER</v>
      </c>
    </row>
    <row r="237" spans="1:13" x14ac:dyDescent="0.25">
      <c r="A237" s="2">
        <v>44419</v>
      </c>
      <c r="B237" s="5">
        <v>39.6</v>
      </c>
      <c r="C237" s="5">
        <v>747.125</v>
      </c>
      <c r="D237" s="5">
        <v>18.375</v>
      </c>
      <c r="E237" s="5">
        <f>Таблица1[[#This Row],[pressure]]/760*101325</f>
        <v>99608.474506578947</v>
      </c>
      <c r="F237" s="7">
        <f>Таблица1[[#This Row],[humidity]]/100</f>
        <v>0.18375</v>
      </c>
      <c r="G237" s="5" cm="1">
        <f t="array" ref="G237">wet_bulb_temp(Таблица1[[#This Row],[temp]],Таблица1[[#This Row],[humidity_ratio]],Таблица1[[#This Row],[pressure_kpa]])</f>
        <v>21.152900404875297</v>
      </c>
      <c r="H237" s="5" cm="1">
        <f t="array" ref="H237">wet_bulb_temp_simple(Таблица1[[#This Row],[temp]],Таблица1[[#This Row],[humidity]])</f>
        <v>21.838484997940906</v>
      </c>
      <c r="I237" s="5">
        <f>IF(Таблица1[[#This Row],[wet_bulb_thermo]]+$F$1&lt;20,20,Таблица1[[#This Row],[wet_bulb_thermo]]+$F$1)</f>
        <v>31.152900404875297</v>
      </c>
      <c r="J237" s="9">
        <f>Таблица1[[#This Row],[Tcold]]+$I$1</f>
        <v>41.152900404875297</v>
      </c>
      <c r="K237" s="12" cm="1">
        <f t="array" ref="K237">evaporation(Таблица1[[#This Row],[Thot]],Таблица1[[#This Row],[Tcold]],Таблица1[[#This Row],[temp]],Таблица1[[#This Row],[humidity_ratio]],Таблица1[[#This Row],[pressure_kpa]])/$I$1</f>
        <v>1.6619643360516756E-3</v>
      </c>
      <c r="L237">
        <f>MONTH(Таблица1[[#This Row],[date]])</f>
        <v>8</v>
      </c>
      <c r="M237" t="str">
        <f>IF(AND(Таблица1[[#This Row],[month]]&gt;3, Таблица1[[#This Row],[month]]&lt;11),"SUMMER","WINTER")</f>
        <v>SUMMER</v>
      </c>
    </row>
    <row r="238" spans="1:13" x14ac:dyDescent="0.25">
      <c r="A238" s="2">
        <v>44420</v>
      </c>
      <c r="B238" s="5">
        <v>39.950000000000003</v>
      </c>
      <c r="C238" s="5">
        <v>747.55</v>
      </c>
      <c r="D238" s="5">
        <v>19.75</v>
      </c>
      <c r="E238" s="5">
        <f>Таблица1[[#This Row],[pressure]]/760*101325</f>
        <v>99665.136513157893</v>
      </c>
      <c r="F238" s="7">
        <f>Таблица1[[#This Row],[humidity]]/100</f>
        <v>0.19750000000000001</v>
      </c>
      <c r="G238" s="5" cm="1">
        <f t="array" ref="G238">wet_bulb_temp(Таблица1[[#This Row],[temp]],Таблица1[[#This Row],[humidity_ratio]],Таблица1[[#This Row],[pressure_kpa]])</f>
        <v>21.819569111306674</v>
      </c>
      <c r="H238" s="5" cm="1">
        <f t="array" ref="H238">wet_bulb_temp_simple(Таблица1[[#This Row],[temp]],Таблица1[[#This Row],[humidity]])</f>
        <v>22.579533733152033</v>
      </c>
      <c r="I238" s="5">
        <f>IF(Таблица1[[#This Row],[wet_bulb_thermo]]+$F$1&lt;20,20,Таблица1[[#This Row],[wet_bulb_thermo]]+$F$1)</f>
        <v>31.819569111306674</v>
      </c>
      <c r="J238" s="9">
        <f>Таблица1[[#This Row],[Tcold]]+$I$1</f>
        <v>41.819569111306677</v>
      </c>
      <c r="K238" s="12" cm="1">
        <f t="array" ref="K238">evaporation(Таблица1[[#This Row],[Thot]],Таблица1[[#This Row],[Tcold]],Таблица1[[#This Row],[temp]],Таблица1[[#This Row],[humidity_ratio]],Таблица1[[#This Row],[pressure_kpa]])/$I$1</f>
        <v>1.658260813186821E-3</v>
      </c>
      <c r="L238">
        <f>MONTH(Таблица1[[#This Row],[date]])</f>
        <v>8</v>
      </c>
      <c r="M238" t="str">
        <f>IF(AND(Таблица1[[#This Row],[month]]&gt;3, Таблица1[[#This Row],[month]]&lt;11),"SUMMER","WINTER")</f>
        <v>SUMMER</v>
      </c>
    </row>
    <row r="239" spans="1:13" x14ac:dyDescent="0.25">
      <c r="A239" s="2">
        <v>44421</v>
      </c>
      <c r="B239" s="5">
        <v>40.712499999999999</v>
      </c>
      <c r="C239" s="5">
        <v>747.9375</v>
      </c>
      <c r="D239" s="5">
        <v>15.375</v>
      </c>
      <c r="E239" s="5">
        <f>Таблица1[[#This Row],[pressure]]/760*101325</f>
        <v>99716.798930921053</v>
      </c>
      <c r="F239" s="7">
        <f>Таблица1[[#This Row],[humidity]]/100</f>
        <v>0.15375</v>
      </c>
      <c r="G239" s="5" cm="1">
        <f t="array" ref="G239">wet_bulb_temp(Таблица1[[#This Row],[temp]],Таблица1[[#This Row],[humidity_ratio]],Таблица1[[#This Row],[pressure_kpa]])</f>
        <v>20.784095037331632</v>
      </c>
      <c r="H239" s="5" cm="1">
        <f t="array" ref="H239">wet_bulb_temp_simple(Таблица1[[#This Row],[temp]],Таблица1[[#This Row],[humidity]])</f>
        <v>21.37812352604168</v>
      </c>
      <c r="I239" s="5">
        <f>IF(Таблица1[[#This Row],[wet_bulb_thermo]]+$F$1&lt;20,20,Таблица1[[#This Row],[wet_bulb_thermo]]+$F$1)</f>
        <v>30.784095037331632</v>
      </c>
      <c r="J239" s="9">
        <f>Таблица1[[#This Row],[Tcold]]+$I$1</f>
        <v>40.784095037331632</v>
      </c>
      <c r="K239" s="12" cm="1">
        <f t="array" ref="K239">evaporation(Таблица1[[#This Row],[Thot]],Таблица1[[#This Row],[Tcold]],Таблица1[[#This Row],[temp]],Таблица1[[#This Row],[humidity_ratio]],Таблица1[[#This Row],[pressure_kpa]])/$I$1</f>
        <v>1.6840326686823393E-3</v>
      </c>
      <c r="L239">
        <f>MONTH(Таблица1[[#This Row],[date]])</f>
        <v>8</v>
      </c>
      <c r="M239" t="str">
        <f>IF(AND(Таблица1[[#This Row],[month]]&gt;3, Таблица1[[#This Row],[month]]&lt;11),"SUMMER","WINTER")</f>
        <v>SUMMER</v>
      </c>
    </row>
    <row r="240" spans="1:13" x14ac:dyDescent="0.25">
      <c r="A240" s="2">
        <v>44422</v>
      </c>
      <c r="B240" s="5">
        <v>40.887500000000003</v>
      </c>
      <c r="C240" s="5">
        <v>746.13750000000005</v>
      </c>
      <c r="D240" s="5">
        <v>13.25</v>
      </c>
      <c r="E240" s="5">
        <f>Таблица1[[#This Row],[pressure]]/760*101325</f>
        <v>99476.81866776316</v>
      </c>
      <c r="F240" s="7">
        <f>Таблица1[[#This Row],[humidity]]/100</f>
        <v>0.13250000000000001</v>
      </c>
      <c r="G240" s="5" cm="1">
        <f t="array" ref="G240">wet_bulb_temp(Таблица1[[#This Row],[temp]],Таблица1[[#This Row],[humidity_ratio]],Таблица1[[#This Row],[pressure_kpa]])</f>
        <v>20.129715250672636</v>
      </c>
      <c r="H240" s="5" cm="1">
        <f t="array" ref="H240">wet_bulb_temp_simple(Таблица1[[#This Row],[temp]],Таблица1[[#This Row],[humidity]])</f>
        <v>20.565716087444471</v>
      </c>
      <c r="I240" s="5">
        <f>IF(Таблица1[[#This Row],[wet_bulb_thermo]]+$F$1&lt;20,20,Таблица1[[#This Row],[wet_bulb_thermo]]+$F$1)</f>
        <v>30.129715250672636</v>
      </c>
      <c r="J240" s="9">
        <f>Таблица1[[#This Row],[Tcold]]+$I$1</f>
        <v>40.129715250672632</v>
      </c>
      <c r="K240" s="12" cm="1">
        <f t="array" ref="K240">evaporation(Таблица1[[#This Row],[Thot]],Таблица1[[#This Row],[Tcold]],Таблица1[[#This Row],[temp]],Таблица1[[#This Row],[humidity_ratio]],Таблица1[[#This Row],[pressure_kpa]])/$I$1</f>
        <v>1.6967891572542647E-3</v>
      </c>
      <c r="L240">
        <f>MONTH(Таблица1[[#This Row],[date]])</f>
        <v>8</v>
      </c>
      <c r="M240" t="str">
        <f>IF(AND(Таблица1[[#This Row],[month]]&gt;3, Таблица1[[#This Row],[month]]&lt;11),"SUMMER","WINTER")</f>
        <v>SUMMER</v>
      </c>
    </row>
    <row r="241" spans="1:13" x14ac:dyDescent="0.25">
      <c r="A241" s="2">
        <v>44423</v>
      </c>
      <c r="B241" s="5">
        <v>38.274999999999999</v>
      </c>
      <c r="C241" s="5">
        <v>745.77499999999998</v>
      </c>
      <c r="D241" s="5">
        <v>18.5</v>
      </c>
      <c r="E241" s="5">
        <f>Таблица1[[#This Row],[pressure]]/760*101325</f>
        <v>99428.489309210519</v>
      </c>
      <c r="F241" s="7">
        <f>Таблица1[[#This Row],[humidity]]/100</f>
        <v>0.185</v>
      </c>
      <c r="G241" s="5" cm="1">
        <f t="array" ref="G241">wet_bulb_temp(Таблица1[[#This Row],[temp]],Таблица1[[#This Row],[humidity_ratio]],Таблица1[[#This Row],[pressure_kpa]])</f>
        <v>20.391268506434976</v>
      </c>
      <c r="H241" s="5" cm="1">
        <f t="array" ref="H241">wet_bulb_temp_simple(Таблица1[[#This Row],[temp]],Таблица1[[#This Row],[humidity]])</f>
        <v>21.001222550464512</v>
      </c>
      <c r="I241" s="5">
        <f>IF(Таблица1[[#This Row],[wet_bulb_thermo]]+$F$1&lt;20,20,Таблица1[[#This Row],[wet_bulb_thermo]]+$F$1)</f>
        <v>30.391268506434976</v>
      </c>
      <c r="J241" s="9">
        <f>Таблица1[[#This Row],[Tcold]]+$I$1</f>
        <v>40.391268506434976</v>
      </c>
      <c r="K241" s="12" cm="1">
        <f t="array" ref="K241">evaporation(Таблица1[[#This Row],[Thot]],Таблица1[[#This Row],[Tcold]],Таблица1[[#This Row],[temp]],Таблица1[[#This Row],[humidity_ratio]],Таблица1[[#This Row],[pressure_kpa]])/$I$1</f>
        <v>1.6522248509669817E-3</v>
      </c>
      <c r="L241">
        <f>MONTH(Таблица1[[#This Row],[date]])</f>
        <v>8</v>
      </c>
      <c r="M241" t="str">
        <f>IF(AND(Таблица1[[#This Row],[month]]&gt;3, Таблица1[[#This Row],[month]]&lt;11),"SUMMER","WINTER")</f>
        <v>SUMMER</v>
      </c>
    </row>
    <row r="242" spans="1:13" x14ac:dyDescent="0.25">
      <c r="A242" s="2">
        <v>44424</v>
      </c>
      <c r="B242" s="5">
        <v>37.700000000000003</v>
      </c>
      <c r="C242" s="5">
        <v>746.38750000000005</v>
      </c>
      <c r="D242" s="5">
        <v>20</v>
      </c>
      <c r="E242" s="5">
        <f>Таблица1[[#This Row],[pressure]]/760*101325</f>
        <v>99510.149259868427</v>
      </c>
      <c r="F242" s="7">
        <f>Таблица1[[#This Row],[humidity]]/100</f>
        <v>0.2</v>
      </c>
      <c r="G242" s="5" cm="1">
        <f t="array" ref="G242">wet_bulb_temp(Таблица1[[#This Row],[temp]],Таблица1[[#This Row],[humidity_ratio]],Таблица1[[#This Row],[pressure_kpa]])</f>
        <v>20.497342624247306</v>
      </c>
      <c r="H242" s="5" cm="1">
        <f t="array" ref="H242">wet_bulb_temp_simple(Таблица1[[#This Row],[temp]],Таблица1[[#This Row],[humidity]])</f>
        <v>21.139230183807108</v>
      </c>
      <c r="I242" s="5">
        <f>IF(Таблица1[[#This Row],[wet_bulb_thermo]]+$F$1&lt;20,20,Таблица1[[#This Row],[wet_bulb_thermo]]+$F$1)</f>
        <v>30.497342624247306</v>
      </c>
      <c r="J242" s="9">
        <f>Таблица1[[#This Row],[Tcold]]+$I$1</f>
        <v>40.49734262424731</v>
      </c>
      <c r="K242" s="12" cm="1">
        <f t="array" ref="K242">evaporation(Таблица1[[#This Row],[Thot]],Таблица1[[#This Row],[Tcold]],Таблица1[[#This Row],[temp]],Таблица1[[#This Row],[humidity_ratio]],Таблица1[[#This Row],[pressure_kpa]])/$I$1</f>
        <v>1.6418833551899211E-3</v>
      </c>
      <c r="L242">
        <f>MONTH(Таблица1[[#This Row],[date]])</f>
        <v>8</v>
      </c>
      <c r="M242" t="str">
        <f>IF(AND(Таблица1[[#This Row],[month]]&gt;3, Таблица1[[#This Row],[month]]&lt;11),"SUMMER","WINTER")</f>
        <v>SUMMER</v>
      </c>
    </row>
    <row r="243" spans="1:13" x14ac:dyDescent="0.25">
      <c r="A243" s="2">
        <v>44425</v>
      </c>
      <c r="B243" s="5">
        <v>36.862499999999997</v>
      </c>
      <c r="C243" s="5">
        <v>747.5625</v>
      </c>
      <c r="D243" s="5">
        <v>20</v>
      </c>
      <c r="E243" s="5">
        <f>Таблица1[[#This Row],[pressure]]/760*101325</f>
        <v>99666.80304276316</v>
      </c>
      <c r="F243" s="7">
        <f>Таблица1[[#This Row],[humidity]]/100</f>
        <v>0.2</v>
      </c>
      <c r="G243" s="5" cm="1">
        <f t="array" ref="G243">wet_bulb_temp(Таблица1[[#This Row],[temp]],Таблица1[[#This Row],[humidity_ratio]],Таблица1[[#This Row],[pressure_kpa]])</f>
        <v>19.961809365262795</v>
      </c>
      <c r="H243" s="5" cm="1">
        <f t="array" ref="H243">wet_bulb_temp_simple(Таблица1[[#This Row],[temp]],Таблица1[[#This Row],[humidity]])</f>
        <v>20.569466359102353</v>
      </c>
      <c r="I243" s="5">
        <f>IF(Таблица1[[#This Row],[wet_bulb_thermo]]+$F$1&lt;20,20,Таблица1[[#This Row],[wet_bulb_thermo]]+$F$1)</f>
        <v>29.961809365262795</v>
      </c>
      <c r="J243" s="9">
        <f>Таблица1[[#This Row],[Tcold]]+$I$1</f>
        <v>39.961809365262795</v>
      </c>
      <c r="K243" s="12" cm="1">
        <f t="array" ref="K243">evaporation(Таблица1[[#This Row],[Thot]],Таблица1[[#This Row],[Tcold]],Таблица1[[#This Row],[temp]],Таблица1[[#This Row],[humidity_ratio]],Таблица1[[#This Row],[pressure_kpa]])/$I$1</f>
        <v>1.6357864207242694E-3</v>
      </c>
      <c r="L243">
        <f>MONTH(Таблица1[[#This Row],[date]])</f>
        <v>8</v>
      </c>
      <c r="M243" t="str">
        <f>IF(AND(Таблица1[[#This Row],[month]]&gt;3, Таблица1[[#This Row],[month]]&lt;11),"SUMMER","WINTER")</f>
        <v>SUMMER</v>
      </c>
    </row>
    <row r="244" spans="1:13" x14ac:dyDescent="0.25">
      <c r="A244" s="2">
        <v>44426</v>
      </c>
      <c r="B244" s="5">
        <v>36.8125</v>
      </c>
      <c r="C244" s="5">
        <v>746.9</v>
      </c>
      <c r="D244" s="5">
        <v>20.75</v>
      </c>
      <c r="E244" s="5">
        <f>Таблица1[[#This Row],[pressure]]/760*101325</f>
        <v>99578.476973684199</v>
      </c>
      <c r="F244" s="7">
        <f>Таблица1[[#This Row],[humidity]]/100</f>
        <v>0.20749999999999999</v>
      </c>
      <c r="G244" s="5" cm="1">
        <f t="array" ref="G244">wet_bulb_temp(Таблица1[[#This Row],[temp]],Таблица1[[#This Row],[humidity_ratio]],Таблица1[[#This Row],[pressure_kpa]])</f>
        <v>20.15861632852517</v>
      </c>
      <c r="H244" s="5" cm="1">
        <f t="array" ref="H244">wet_bulb_temp_simple(Таблица1[[#This Row],[temp]],Таблица1[[#This Row],[humidity]])</f>
        <v>20.78300396221449</v>
      </c>
      <c r="I244" s="5">
        <f>IF(Таблица1[[#This Row],[wet_bulb_thermo]]+$F$1&lt;20,20,Таблица1[[#This Row],[wet_bulb_thermo]]+$F$1)</f>
        <v>30.15861632852517</v>
      </c>
      <c r="J244" s="9">
        <f>Таблица1[[#This Row],[Tcold]]+$I$1</f>
        <v>40.15861632852517</v>
      </c>
      <c r="K244" s="12" cm="1">
        <f t="array" ref="K244">evaporation(Таблица1[[#This Row],[Thot]],Таблица1[[#This Row],[Tcold]],Таблица1[[#This Row],[temp]],Таблица1[[#This Row],[humidity_ratio]],Таблица1[[#This Row],[pressure_kpa]])/$I$1</f>
        <v>1.6324726698905205E-3</v>
      </c>
      <c r="L244">
        <f>MONTH(Таблица1[[#This Row],[date]])</f>
        <v>8</v>
      </c>
      <c r="M244" t="str">
        <f>IF(AND(Таблица1[[#This Row],[month]]&gt;3, Таблица1[[#This Row],[month]]&lt;11),"SUMMER","WINTER")</f>
        <v>SUMMER</v>
      </c>
    </row>
    <row r="245" spans="1:13" x14ac:dyDescent="0.25">
      <c r="A245" s="2">
        <v>44427</v>
      </c>
      <c r="B245" s="5">
        <v>36.537500000000001</v>
      </c>
      <c r="C245" s="5">
        <v>747.26250000000005</v>
      </c>
      <c r="D245" s="5">
        <v>20.625</v>
      </c>
      <c r="E245" s="5">
        <f>Таблица1[[#This Row],[pressure]]/760*101325</f>
        <v>99626.80633223684</v>
      </c>
      <c r="F245" s="7">
        <f>Таблица1[[#This Row],[humidity]]/100</f>
        <v>0.20624999999999999</v>
      </c>
      <c r="G245" s="5" cm="1">
        <f t="array" ref="G245">wet_bulb_temp(Таблица1[[#This Row],[temp]],Таблица1[[#This Row],[humidity_ratio]],Таблица1[[#This Row],[pressure_kpa]])</f>
        <v>19.944371630268879</v>
      </c>
      <c r="H245" s="5" cm="1">
        <f t="array" ref="H245">wet_bulb_temp_simple(Таблица1[[#This Row],[temp]],Таблица1[[#This Row],[humidity]])</f>
        <v>20.553514496750026</v>
      </c>
      <c r="I245" s="5">
        <f>IF(Таблица1[[#This Row],[wet_bulb_thermo]]+$F$1&lt;20,20,Таблица1[[#This Row],[wet_bulb_thermo]]+$F$1)</f>
        <v>29.944371630268879</v>
      </c>
      <c r="J245" s="9">
        <f>Таблица1[[#This Row],[Tcold]]+$I$1</f>
        <v>39.944371630268876</v>
      </c>
      <c r="K245" s="12" cm="1">
        <f t="array" ref="K245">evaporation(Таблица1[[#This Row],[Thot]],Таблица1[[#This Row],[Tcold]],Таблица1[[#This Row],[temp]],Таблица1[[#This Row],[humidity_ratio]],Таблица1[[#This Row],[pressure_kpa]])/$I$1</f>
        <v>1.6309002442432888E-3</v>
      </c>
      <c r="L245">
        <f>MONTH(Таблица1[[#This Row],[date]])</f>
        <v>8</v>
      </c>
      <c r="M245" t="str">
        <f>IF(AND(Таблица1[[#This Row],[month]]&gt;3, Таблица1[[#This Row],[month]]&lt;11),"SUMMER","WINTER")</f>
        <v>SUMMER</v>
      </c>
    </row>
    <row r="246" spans="1:13" x14ac:dyDescent="0.25">
      <c r="A246" s="2">
        <v>44428</v>
      </c>
      <c r="B246" s="5">
        <v>37.25</v>
      </c>
      <c r="C246" s="5">
        <v>748.6875</v>
      </c>
      <c r="D246" s="5">
        <v>32.25</v>
      </c>
      <c r="E246" s="5">
        <f>Таблица1[[#This Row],[pressure]]/760*101325</f>
        <v>99816.79070723684</v>
      </c>
      <c r="F246" s="7">
        <f>Таблица1[[#This Row],[humidity]]/100</f>
        <v>0.32250000000000001</v>
      </c>
      <c r="G246" s="5" cm="1">
        <f t="array" ref="G246">wet_bulb_temp(Таблица1[[#This Row],[temp]],Таблица1[[#This Row],[humidity_ratio]],Таблица1[[#This Row],[pressure_kpa]])</f>
        <v>23.669247640809278</v>
      </c>
      <c r="H246" s="5" cm="1">
        <f t="array" ref="H246">wet_bulb_temp_simple(Таблица1[[#This Row],[temp]],Таблица1[[#This Row],[humidity]])</f>
        <v>24.440975366215998</v>
      </c>
      <c r="I246" s="5">
        <f>IF(Таблица1[[#This Row],[wet_bulb_thermo]]+$F$1&lt;20,20,Таблица1[[#This Row],[wet_bulb_thermo]]+$F$1)</f>
        <v>33.669247640809274</v>
      </c>
      <c r="J246" s="9">
        <f>Таблица1[[#This Row],[Tcold]]+$I$1</f>
        <v>43.669247640809274</v>
      </c>
      <c r="K246" s="12" cm="1">
        <f t="array" ref="K246">evaporation(Таблица1[[#This Row],[Thot]],Таблица1[[#This Row],[Tcold]],Таблица1[[#This Row],[temp]],Таблица1[[#This Row],[humidity_ratio]],Таблица1[[#This Row],[pressure_kpa]])/$I$1</f>
        <v>1.6001681808085985E-3</v>
      </c>
      <c r="L246">
        <f>MONTH(Таблица1[[#This Row],[date]])</f>
        <v>8</v>
      </c>
      <c r="M246" t="str">
        <f>IF(AND(Таблица1[[#This Row],[month]]&gt;3, Таблица1[[#This Row],[month]]&lt;11),"SUMMER","WINTER")</f>
        <v>SUMMER</v>
      </c>
    </row>
    <row r="247" spans="1:13" x14ac:dyDescent="0.25">
      <c r="A247" s="2">
        <v>44429</v>
      </c>
      <c r="B247" s="5">
        <v>37.125</v>
      </c>
      <c r="C247" s="5">
        <v>749.91250000000002</v>
      </c>
      <c r="D247" s="5">
        <v>36</v>
      </c>
      <c r="E247" s="5">
        <f>Таблица1[[#This Row],[pressure]]/760*101325</f>
        <v>99980.110608552641</v>
      </c>
      <c r="F247" s="7">
        <f>Таблица1[[#This Row],[humidity]]/100</f>
        <v>0.36</v>
      </c>
      <c r="G247" s="5" cm="1">
        <f t="array" ref="G247">wet_bulb_temp(Таблица1[[#This Row],[temp]],Таблица1[[#This Row],[humidity_ratio]],Таблица1[[#This Row],[pressure_kpa]])</f>
        <v>24.541354684546992</v>
      </c>
      <c r="H247" s="5" cm="1">
        <f t="array" ref="H247">wet_bulb_temp_simple(Таблица1[[#This Row],[temp]],Таблица1[[#This Row],[humidity]])</f>
        <v>25.290179512101055</v>
      </c>
      <c r="I247" s="5">
        <f>IF(Таблица1[[#This Row],[wet_bulb_thermo]]+$F$1&lt;20,20,Таблица1[[#This Row],[wet_bulb_thermo]]+$F$1)</f>
        <v>34.541354684546988</v>
      </c>
      <c r="J247" s="9">
        <f>Таблица1[[#This Row],[Tcold]]+$I$1</f>
        <v>44.541354684546988</v>
      </c>
      <c r="K247" s="12" cm="1">
        <f t="array" ref="K247">evaporation(Таблица1[[#This Row],[Thot]],Таблица1[[#This Row],[Tcold]],Таблица1[[#This Row],[temp]],Таблица1[[#This Row],[humidity_ratio]],Таблица1[[#This Row],[pressure_kpa]])/$I$1</f>
        <v>1.5908651501419571E-3</v>
      </c>
      <c r="L247">
        <f>MONTH(Таблица1[[#This Row],[date]])</f>
        <v>8</v>
      </c>
      <c r="M247" t="str">
        <f>IF(AND(Таблица1[[#This Row],[month]]&gt;3, Таблица1[[#This Row],[month]]&lt;11),"SUMMER","WINTER")</f>
        <v>SUMMER</v>
      </c>
    </row>
    <row r="248" spans="1:13" x14ac:dyDescent="0.25">
      <c r="A248" s="2">
        <v>44430</v>
      </c>
      <c r="B248" s="5">
        <v>38.049999999999997</v>
      </c>
      <c r="C248" s="5">
        <v>749.8</v>
      </c>
      <c r="D248" s="5">
        <v>32.5</v>
      </c>
      <c r="E248" s="5">
        <f>Таблица1[[#This Row],[pressure]]/760*101325</f>
        <v>99965.111842105252</v>
      </c>
      <c r="F248" s="7">
        <f>Таблица1[[#This Row],[humidity]]/100</f>
        <v>0.32500000000000001</v>
      </c>
      <c r="G248" s="5" cm="1">
        <f t="array" ref="G248">wet_bulb_temp(Таблица1[[#This Row],[temp]],Таблица1[[#This Row],[humidity_ratio]],Таблица1[[#This Row],[pressure_kpa]])</f>
        <v>24.305534739706182</v>
      </c>
      <c r="H248" s="5" cm="1">
        <f t="array" ref="H248">wet_bulb_temp_simple(Таблица1[[#This Row],[temp]],Таблица1[[#This Row],[humidity]])</f>
        <v>25.122670397211024</v>
      </c>
      <c r="I248" s="5">
        <f>IF(Таблица1[[#This Row],[wet_bulb_thermo]]+$F$1&lt;20,20,Таблица1[[#This Row],[wet_bulb_thermo]]+$F$1)</f>
        <v>34.305534739706182</v>
      </c>
      <c r="J248" s="9">
        <f>Таблица1[[#This Row],[Tcold]]+$I$1</f>
        <v>44.305534739706182</v>
      </c>
      <c r="K248" s="12" cm="1">
        <f t="array" ref="K248">evaporation(Таблица1[[#This Row],[Thot]],Таблица1[[#This Row],[Tcold]],Таблица1[[#This Row],[temp]],Таблица1[[#This Row],[humidity_ratio]],Таблица1[[#This Row],[pressure_kpa]])/$I$1</f>
        <v>1.6048477142361212E-3</v>
      </c>
      <c r="L248">
        <f>MONTH(Таблица1[[#This Row],[date]])</f>
        <v>8</v>
      </c>
      <c r="M248" t="str">
        <f>IF(AND(Таблица1[[#This Row],[month]]&gt;3, Таблица1[[#This Row],[month]]&lt;11),"SUMMER","WINTER")</f>
        <v>SUMMER</v>
      </c>
    </row>
    <row r="249" spans="1:13" x14ac:dyDescent="0.25">
      <c r="A249" s="2">
        <v>44431</v>
      </c>
      <c r="B249" s="5">
        <v>37.787500000000001</v>
      </c>
      <c r="C249" s="5">
        <v>749.07500000000005</v>
      </c>
      <c r="D249" s="5">
        <v>35.5</v>
      </c>
      <c r="E249" s="5">
        <f>Таблица1[[#This Row],[pressure]]/760*101325</f>
        <v>99868.453125000015</v>
      </c>
      <c r="F249" s="7">
        <f>Таблица1[[#This Row],[humidity]]/100</f>
        <v>0.35499999999999998</v>
      </c>
      <c r="G249" s="5" cm="1">
        <f t="array" ref="G249">wet_bulb_temp(Таблица1[[#This Row],[temp]],Таблица1[[#This Row],[humidity_ratio]],Таблица1[[#This Row],[pressure_kpa]])</f>
        <v>24.919145864090968</v>
      </c>
      <c r="H249" s="5" cm="1">
        <f t="array" ref="H249">wet_bulb_temp_simple(Таблица1[[#This Row],[temp]],Таблица1[[#This Row],[humidity]])</f>
        <v>25.689741758748809</v>
      </c>
      <c r="I249" s="5">
        <f>IF(Таблица1[[#This Row],[wet_bulb_thermo]]+$F$1&lt;20,20,Таблица1[[#This Row],[wet_bulb_thermo]]+$F$1)</f>
        <v>34.919145864090964</v>
      </c>
      <c r="J249" s="9">
        <f>Таблица1[[#This Row],[Tcold]]+$I$1</f>
        <v>44.919145864090964</v>
      </c>
      <c r="K249" s="12" cm="1">
        <f t="array" ref="K249">evaporation(Таблица1[[#This Row],[Thot]],Таблица1[[#This Row],[Tcold]],Таблица1[[#This Row],[temp]],Таблица1[[#This Row],[humidity_ratio]],Таблица1[[#This Row],[pressure_kpa]])/$I$1</f>
        <v>1.5963974652579676E-3</v>
      </c>
      <c r="L249">
        <f>MONTH(Таблица1[[#This Row],[date]])</f>
        <v>8</v>
      </c>
      <c r="M249" t="str">
        <f>IF(AND(Таблица1[[#This Row],[month]]&gt;3, Таблица1[[#This Row],[month]]&lt;11),"SUMMER","WINTER")</f>
        <v>SUMMER</v>
      </c>
    </row>
    <row r="250" spans="1:13" x14ac:dyDescent="0.25">
      <c r="A250" s="2">
        <v>44432</v>
      </c>
      <c r="B250" s="5">
        <v>38.1</v>
      </c>
      <c r="C250" s="5">
        <v>750.16250000000002</v>
      </c>
      <c r="D250" s="5">
        <v>36.625</v>
      </c>
      <c r="E250" s="5">
        <f>Таблица1[[#This Row],[pressure]]/760*101325</f>
        <v>100013.44120065789</v>
      </c>
      <c r="F250" s="7">
        <f>Таблица1[[#This Row],[humidity]]/100</f>
        <v>0.36625000000000002</v>
      </c>
      <c r="G250" s="5" cm="1">
        <f t="array" ref="G250">wet_bulb_temp(Таблица1[[#This Row],[temp]],Таблица1[[#This Row],[humidity_ratio]],Таблица1[[#This Row],[pressure_kpa]])</f>
        <v>25.434222998320191</v>
      </c>
      <c r="H250" s="5" cm="1">
        <f t="array" ref="H250">wet_bulb_temp_simple(Таблица1[[#This Row],[temp]],Таблица1[[#This Row],[humidity]])</f>
        <v>26.217483348908146</v>
      </c>
      <c r="I250" s="5">
        <f>IF(Таблица1[[#This Row],[wet_bulb_thermo]]+$F$1&lt;20,20,Таблица1[[#This Row],[wet_bulb_thermo]]+$F$1)</f>
        <v>35.434222998320195</v>
      </c>
      <c r="J250" s="9">
        <f>Таблица1[[#This Row],[Tcold]]+$I$1</f>
        <v>45.434222998320195</v>
      </c>
      <c r="K250" s="12" cm="1">
        <f t="array" ref="K250">evaporation(Таблица1[[#This Row],[Thot]],Таблица1[[#This Row],[Tcold]],Таблица1[[#This Row],[temp]],Таблица1[[#This Row],[humidity_ratio]],Таблица1[[#This Row],[pressure_kpa]])/$I$1</f>
        <v>1.5960470331911644E-3</v>
      </c>
      <c r="L250">
        <f>MONTH(Таблица1[[#This Row],[date]])</f>
        <v>8</v>
      </c>
      <c r="M250" t="str">
        <f>IF(AND(Таблица1[[#This Row],[month]]&gt;3, Таблица1[[#This Row],[month]]&lt;11),"SUMMER","WINTER")</f>
        <v>SUMMER</v>
      </c>
    </row>
    <row r="251" spans="1:13" x14ac:dyDescent="0.25">
      <c r="A251" s="2">
        <v>44433</v>
      </c>
      <c r="B251" s="5">
        <v>38.725000000000001</v>
      </c>
      <c r="C251" s="5">
        <v>749.86249999999995</v>
      </c>
      <c r="D251" s="5">
        <v>29.875</v>
      </c>
      <c r="E251" s="5">
        <f>Таблица1[[#This Row],[pressure]]/760*101325</f>
        <v>99973.444490131573</v>
      </c>
      <c r="F251" s="7">
        <f>Таблица1[[#This Row],[humidity]]/100</f>
        <v>0.29875000000000002</v>
      </c>
      <c r="G251" s="5" cm="1">
        <f t="array" ref="G251">wet_bulb_temp(Таблица1[[#This Row],[temp]],Таблица1[[#This Row],[humidity_ratio]],Таблица1[[#This Row],[pressure_kpa]])</f>
        <v>24.063108645536484</v>
      </c>
      <c r="H251" s="5" cm="1">
        <f t="array" ref="H251">wet_bulb_temp_simple(Таблица1[[#This Row],[temp]],Таблица1[[#This Row],[humidity]])</f>
        <v>24.92156044680436</v>
      </c>
      <c r="I251" s="5">
        <f>IF(Таблица1[[#This Row],[wet_bulb_thermo]]+$F$1&lt;20,20,Таблица1[[#This Row],[wet_bulb_thermo]]+$F$1)</f>
        <v>34.063108645536488</v>
      </c>
      <c r="J251" s="9">
        <f>Таблица1[[#This Row],[Tcold]]+$I$1</f>
        <v>44.063108645536488</v>
      </c>
      <c r="K251" s="12" cm="1">
        <f t="array" ref="K251">evaporation(Таблица1[[#This Row],[Thot]],Таблица1[[#This Row],[Tcold]],Таблица1[[#This Row],[temp]],Таблица1[[#This Row],[humidity_ratio]],Таблица1[[#This Row],[pressure_kpa]])/$I$1</f>
        <v>1.6159069997928141E-3</v>
      </c>
      <c r="L251">
        <f>MONTH(Таблица1[[#This Row],[date]])</f>
        <v>8</v>
      </c>
      <c r="M251" t="str">
        <f>IF(AND(Таблица1[[#This Row],[month]]&gt;3, Таблица1[[#This Row],[month]]&lt;11),"SUMMER","WINTER")</f>
        <v>SUMMER</v>
      </c>
    </row>
    <row r="252" spans="1:13" x14ac:dyDescent="0.25">
      <c r="A252" s="2">
        <v>44434</v>
      </c>
      <c r="B252" s="5">
        <v>39.837499999999999</v>
      </c>
      <c r="C252" s="5">
        <v>747.55</v>
      </c>
      <c r="D252" s="5">
        <v>18.375</v>
      </c>
      <c r="E252" s="5">
        <f>Таблица1[[#This Row],[pressure]]/760*101325</f>
        <v>99665.136513157893</v>
      </c>
      <c r="F252" s="7">
        <f>Таблица1[[#This Row],[humidity]]/100</f>
        <v>0.18375</v>
      </c>
      <c r="G252" s="5" cm="1">
        <f t="array" ref="G252">wet_bulb_temp(Таблица1[[#This Row],[temp]],Таблица1[[#This Row],[humidity_ratio]],Таблица1[[#This Row],[pressure_kpa]])</f>
        <v>21.294995021842272</v>
      </c>
      <c r="H252" s="5" cm="1">
        <f t="array" ref="H252">wet_bulb_temp_simple(Таблица1[[#This Row],[temp]],Таблица1[[#This Row],[humidity]])</f>
        <v>21.996637132778382</v>
      </c>
      <c r="I252" s="5">
        <f>IF(Таблица1[[#This Row],[wet_bulb_thermo]]+$F$1&lt;20,20,Таблица1[[#This Row],[wet_bulb_thermo]]+$F$1)</f>
        <v>31.294995021842272</v>
      </c>
      <c r="J252" s="9">
        <f>Таблица1[[#This Row],[Tcold]]+$I$1</f>
        <v>41.294995021842269</v>
      </c>
      <c r="K252" s="12" cm="1">
        <f t="array" ref="K252">evaporation(Таблица1[[#This Row],[Thot]],Таблица1[[#This Row],[Tcold]],Таблица1[[#This Row],[temp]],Таблица1[[#This Row],[humidity_ratio]],Таблица1[[#This Row],[pressure_kpa]])/$I$1</f>
        <v>1.6635676108005038E-3</v>
      </c>
      <c r="L252">
        <f>MONTH(Таблица1[[#This Row],[date]])</f>
        <v>8</v>
      </c>
      <c r="M252" t="str">
        <f>IF(AND(Таблица1[[#This Row],[month]]&gt;3, Таблица1[[#This Row],[month]]&lt;11),"SUMMER","WINTER")</f>
        <v>SUMMER</v>
      </c>
    </row>
    <row r="253" spans="1:13" x14ac:dyDescent="0.25">
      <c r="A253" s="2">
        <v>44435</v>
      </c>
      <c r="B253" s="5">
        <v>40.1</v>
      </c>
      <c r="C253" s="5">
        <v>746.38749999999993</v>
      </c>
      <c r="D253" s="5">
        <v>14.875</v>
      </c>
      <c r="E253" s="5">
        <f>Таблица1[[#This Row],[pressure]]/760*101325</f>
        <v>99510.149259868413</v>
      </c>
      <c r="F253" s="7">
        <f>Таблица1[[#This Row],[humidity]]/100</f>
        <v>0.14874999999999999</v>
      </c>
      <c r="G253" s="5" cm="1">
        <f t="array" ref="G253">wet_bulb_temp(Таблица1[[#This Row],[temp]],Таблица1[[#This Row],[humidity_ratio]],Таблица1[[#This Row],[pressure_kpa]])</f>
        <v>20.264221579789783</v>
      </c>
      <c r="H253" s="5" cm="1">
        <f t="array" ref="H253">wet_bulb_temp_simple(Таблица1[[#This Row],[temp]],Таблица1[[#This Row],[humidity]])</f>
        <v>20.780041994750583</v>
      </c>
      <c r="I253" s="5">
        <f>IF(Таблица1[[#This Row],[wet_bulb_thermo]]+$F$1&lt;20,20,Таблица1[[#This Row],[wet_bulb_thermo]]+$F$1)</f>
        <v>30.264221579789783</v>
      </c>
      <c r="J253" s="9">
        <f>Таблица1[[#This Row],[Tcold]]+$I$1</f>
        <v>40.264221579789783</v>
      </c>
      <c r="K253" s="12" cm="1">
        <f t="array" ref="K253">evaporation(Таблица1[[#This Row],[Thot]],Таблица1[[#This Row],[Tcold]],Таблица1[[#This Row],[temp]],Таблица1[[#This Row],[humidity_ratio]],Таблица1[[#This Row],[pressure_kpa]])/$I$1</f>
        <v>1.6823879769913099E-3</v>
      </c>
      <c r="L253">
        <f>MONTH(Таблица1[[#This Row],[date]])</f>
        <v>8</v>
      </c>
      <c r="M253" t="str">
        <f>IF(AND(Таблица1[[#This Row],[month]]&gt;3, Таблица1[[#This Row],[month]]&lt;11),"SUMMER","WINTER")</f>
        <v>SUMMER</v>
      </c>
    </row>
    <row r="254" spans="1:13" x14ac:dyDescent="0.25">
      <c r="A254" s="2">
        <v>44436</v>
      </c>
      <c r="B254" s="5">
        <v>38.299999999999997</v>
      </c>
      <c r="C254" s="5">
        <v>745.88750000000005</v>
      </c>
      <c r="D254" s="5">
        <v>27.375</v>
      </c>
      <c r="E254" s="5">
        <f>Таблица1[[#This Row],[pressure]]/760*101325</f>
        <v>99443.488075657893</v>
      </c>
      <c r="F254" s="7">
        <f>Таблица1[[#This Row],[humidity]]/100</f>
        <v>0.27374999999999999</v>
      </c>
      <c r="G254" s="5" cm="1">
        <f t="array" ref="G254">wet_bulb_temp(Таблица1[[#This Row],[temp]],Таблица1[[#This Row],[humidity_ratio]],Таблица1[[#This Row],[pressure_kpa]])</f>
        <v>23.093625545179663</v>
      </c>
      <c r="H254" s="5" cm="1">
        <f t="array" ref="H254">wet_bulb_temp_simple(Таблица1[[#This Row],[temp]],Таблица1[[#This Row],[humidity]])</f>
        <v>23.887652471389814</v>
      </c>
      <c r="I254" s="5">
        <f>IF(Таблица1[[#This Row],[wet_bulb_thermo]]+$F$1&lt;20,20,Таблица1[[#This Row],[wet_bulb_thermo]]+$F$1)</f>
        <v>33.093625545179663</v>
      </c>
      <c r="J254" s="9">
        <f>Таблица1[[#This Row],[Tcold]]+$I$1</f>
        <v>43.093625545179663</v>
      </c>
      <c r="K254" s="12" cm="1">
        <f t="array" ref="K254">evaporation(Таблица1[[#This Row],[Thot]],Таблица1[[#This Row],[Tcold]],Таблица1[[#This Row],[temp]],Таблица1[[#This Row],[humidity_ratio]],Таблица1[[#This Row],[pressure_kpa]])/$I$1</f>
        <v>1.6203107519068912E-3</v>
      </c>
      <c r="L254">
        <f>MONTH(Таблица1[[#This Row],[date]])</f>
        <v>8</v>
      </c>
      <c r="M254" t="str">
        <f>IF(AND(Таблица1[[#This Row],[month]]&gt;3, Таблица1[[#This Row],[month]]&lt;11),"SUMMER","WINTER")</f>
        <v>SUMMER</v>
      </c>
    </row>
    <row r="255" spans="1:13" x14ac:dyDescent="0.25">
      <c r="A255" s="2">
        <v>44437</v>
      </c>
      <c r="B255" s="5">
        <v>38.200000000000003</v>
      </c>
      <c r="C255" s="5">
        <v>746.13750000000005</v>
      </c>
      <c r="D255" s="5">
        <v>19.75</v>
      </c>
      <c r="E255" s="5">
        <f>Таблица1[[#This Row],[pressure]]/760*101325</f>
        <v>99476.81866776316</v>
      </c>
      <c r="F255" s="7">
        <f>Таблица1[[#This Row],[humidity]]/100</f>
        <v>0.19750000000000001</v>
      </c>
      <c r="G255" s="5" cm="1">
        <f t="array" ref="G255">wet_bulb_temp(Таблица1[[#This Row],[temp]],Таблица1[[#This Row],[humidity_ratio]],Таблица1[[#This Row],[pressure_kpa]])</f>
        <v>20.735614483505813</v>
      </c>
      <c r="H255" s="5" cm="1">
        <f t="array" ref="H255">wet_bulb_temp_simple(Таблица1[[#This Row],[temp]],Таблица1[[#This Row],[humidity]])</f>
        <v>21.39280247319164</v>
      </c>
      <c r="I255" s="5">
        <f>IF(Таблица1[[#This Row],[wet_bulb_thermo]]+$F$1&lt;20,20,Таблица1[[#This Row],[wet_bulb_thermo]]+$F$1)</f>
        <v>30.735614483505813</v>
      </c>
      <c r="J255" s="9">
        <f>Таблица1[[#This Row],[Tcold]]+$I$1</f>
        <v>40.735614483505813</v>
      </c>
      <c r="K255" s="12" cm="1">
        <f t="array" ref="K255">evaporation(Таблица1[[#This Row],[Thot]],Таблица1[[#This Row],[Tcold]],Таблица1[[#This Row],[temp]],Таблица1[[#This Row],[humidity_ratio]],Таблица1[[#This Row],[pressure_kpa]])/$I$1</f>
        <v>1.6464335069493307E-3</v>
      </c>
      <c r="L255">
        <f>MONTH(Таблица1[[#This Row],[date]])</f>
        <v>8</v>
      </c>
      <c r="M255" t="str">
        <f>IF(AND(Таблица1[[#This Row],[month]]&gt;3, Таблица1[[#This Row],[month]]&lt;11),"SUMMER","WINTER")</f>
        <v>SUMMER</v>
      </c>
    </row>
    <row r="256" spans="1:13" x14ac:dyDescent="0.25">
      <c r="A256" s="2">
        <v>44438</v>
      </c>
      <c r="B256" s="5">
        <v>37.887500000000003</v>
      </c>
      <c r="C256" s="5">
        <v>748.36249999999995</v>
      </c>
      <c r="D256" s="5">
        <v>27.875</v>
      </c>
      <c r="E256" s="5">
        <f>Таблица1[[#This Row],[pressure]]/760*101325</f>
        <v>99773.4609375</v>
      </c>
      <c r="F256" s="7">
        <f>Таблица1[[#This Row],[humidity]]/100</f>
        <v>0.27875</v>
      </c>
      <c r="G256" s="5" cm="1">
        <f t="array" ref="G256">wet_bulb_temp(Таблица1[[#This Row],[temp]],Таблица1[[#This Row],[humidity_ratio]],Таблица1[[#This Row],[pressure_kpa]])</f>
        <v>22.924352689139731</v>
      </c>
      <c r="H256" s="5" cm="1">
        <f t="array" ref="H256">wet_bulb_temp_simple(Таблица1[[#This Row],[temp]],Таблица1[[#This Row],[humidity]])</f>
        <v>23.727503226807524</v>
      </c>
      <c r="I256" s="5">
        <f>IF(Таблица1[[#This Row],[wet_bulb_thermo]]+$F$1&lt;20,20,Таблица1[[#This Row],[wet_bulb_thermo]]+$F$1)</f>
        <v>32.924352689139731</v>
      </c>
      <c r="J256" s="9">
        <f>Таблица1[[#This Row],[Tcold]]+$I$1</f>
        <v>42.924352689139731</v>
      </c>
      <c r="K256" s="12" cm="1">
        <f t="array" ref="K256">evaporation(Таблица1[[#This Row],[Thot]],Таблица1[[#This Row],[Tcold]],Таблица1[[#This Row],[temp]],Таблица1[[#This Row],[humidity_ratio]],Таблица1[[#This Row],[pressure_kpa]])/$I$1</f>
        <v>1.6160863269096225E-3</v>
      </c>
      <c r="L256">
        <f>MONTH(Таблица1[[#This Row],[date]])</f>
        <v>8</v>
      </c>
      <c r="M256" t="str">
        <f>IF(AND(Таблица1[[#This Row],[month]]&gt;3, Таблица1[[#This Row],[month]]&lt;11),"SUMMER","WINTER")</f>
        <v>SUMMER</v>
      </c>
    </row>
    <row r="257" spans="1:13" x14ac:dyDescent="0.25">
      <c r="A257" s="2">
        <v>44439</v>
      </c>
      <c r="B257" s="5">
        <v>38.225000000000001</v>
      </c>
      <c r="C257" s="5">
        <v>749.77499999999998</v>
      </c>
      <c r="D257" s="5">
        <v>39.125</v>
      </c>
      <c r="E257" s="5">
        <f>Таблица1[[#This Row],[pressure]]/760*101325</f>
        <v>99961.778782894733</v>
      </c>
      <c r="F257" s="7">
        <f>Таблица1[[#This Row],[humidity]]/100</f>
        <v>0.39124999999999999</v>
      </c>
      <c r="G257" s="5" cm="1">
        <f t="array" ref="G257">wet_bulb_temp(Таблица1[[#This Row],[temp]],Таблица1[[#This Row],[humidity_ratio]],Таблица1[[#This Row],[pressure_kpa]])</f>
        <v>26.17910212524183</v>
      </c>
      <c r="H257" s="5" cm="1">
        <f t="array" ref="H257">wet_bulb_temp_simple(Таблица1[[#This Row],[temp]],Таблица1[[#This Row],[humidity]])</f>
        <v>26.927320108886555</v>
      </c>
      <c r="I257" s="5">
        <f>IF(Таблица1[[#This Row],[wet_bulb_thermo]]+$F$1&lt;20,20,Таблица1[[#This Row],[wet_bulb_thermo]]+$F$1)</f>
        <v>36.179102125241826</v>
      </c>
      <c r="J257" s="9">
        <f>Таблица1[[#This Row],[Tcold]]+$I$1</f>
        <v>46.179102125241826</v>
      </c>
      <c r="K257" s="12" cm="1">
        <f t="array" ref="K257">evaporation(Таблица1[[#This Row],[Thot]],Таблица1[[#This Row],[Tcold]],Таблица1[[#This Row],[temp]],Таблица1[[#This Row],[humidity_ratio]],Таблица1[[#This Row],[pressure_kpa]])/$I$1</f>
        <v>1.5921047461731589E-3</v>
      </c>
      <c r="L257">
        <f>MONTH(Таблица1[[#This Row],[date]])</f>
        <v>8</v>
      </c>
      <c r="M257" t="str">
        <f>IF(AND(Таблица1[[#This Row],[month]]&gt;3, Таблица1[[#This Row],[month]]&lt;11),"SUMMER","WINTER")</f>
        <v>SUMMER</v>
      </c>
    </row>
    <row r="258" spans="1:13" x14ac:dyDescent="0.25">
      <c r="A258" s="2">
        <v>44440</v>
      </c>
      <c r="B258" s="5">
        <v>38.325000000000003</v>
      </c>
      <c r="C258" s="5">
        <v>749.5625</v>
      </c>
      <c r="D258" s="5">
        <v>43.5</v>
      </c>
      <c r="E258" s="5">
        <f>Таблица1[[#This Row],[pressure]]/760*101325</f>
        <v>99933.447779605267</v>
      </c>
      <c r="F258" s="7">
        <f>Таблица1[[#This Row],[humidity]]/100</f>
        <v>0.435</v>
      </c>
      <c r="G258" s="5" cm="1">
        <f t="array" ref="G258">wet_bulb_temp(Таблица1[[#This Row],[temp]],Таблица1[[#This Row],[humidity_ratio]],Таблица1[[#This Row],[pressure_kpa]])</f>
        <v>27.354715296213222</v>
      </c>
      <c r="H258" s="5" cm="1">
        <f t="array" ref="H258">wet_bulb_temp_simple(Таблица1[[#This Row],[temp]],Таблица1[[#This Row],[humidity]])</f>
        <v>28.030216447456386</v>
      </c>
      <c r="I258" s="5">
        <f>IF(Таблица1[[#This Row],[wet_bulb_thermo]]+$F$1&lt;20,20,Таблица1[[#This Row],[wet_bulb_thermo]]+$F$1)</f>
        <v>37.354715296213222</v>
      </c>
      <c r="J258" s="9">
        <f>Таблица1[[#This Row],[Tcold]]+$I$1</f>
        <v>47.354715296213222</v>
      </c>
      <c r="K258" s="12" cm="1">
        <f t="array" ref="K258">evaporation(Таблица1[[#This Row],[Thot]],Таблица1[[#This Row],[Tcold]],Таблица1[[#This Row],[temp]],Таблица1[[#This Row],[humidity_ratio]],Таблица1[[#This Row],[pressure_kpa]])/$I$1</f>
        <v>1.5855840894035678E-3</v>
      </c>
      <c r="L258">
        <f>MONTH(Таблица1[[#This Row],[date]])</f>
        <v>9</v>
      </c>
      <c r="M258" t="str">
        <f>IF(AND(Таблица1[[#This Row],[month]]&gt;3, Таблица1[[#This Row],[month]]&lt;11),"SUMMER","WINTER")</f>
        <v>SUMMER</v>
      </c>
    </row>
    <row r="259" spans="1:13" x14ac:dyDescent="0.25">
      <c r="A259" s="2">
        <v>44441</v>
      </c>
      <c r="B259" s="5">
        <v>37.424999999999997</v>
      </c>
      <c r="C259" s="5">
        <v>749</v>
      </c>
      <c r="D259" s="5">
        <v>53.375</v>
      </c>
      <c r="E259" s="5">
        <f>Таблица1[[#This Row],[pressure]]/760*101325</f>
        <v>99858.453947368427</v>
      </c>
      <c r="F259" s="7">
        <f>Таблица1[[#This Row],[humidity]]/100</f>
        <v>0.53374999999999995</v>
      </c>
      <c r="G259" s="5" cm="1">
        <f t="array" ref="G259">wet_bulb_temp(Таблица1[[#This Row],[temp]],Таблица1[[#This Row],[humidity_ratio]],Таблица1[[#This Row],[pressure_kpa]])</f>
        <v>28.91936530121745</v>
      </c>
      <c r="H259" s="5" cm="1">
        <f t="array" ref="H259">wet_bulb_temp_simple(Таблица1[[#This Row],[temp]],Таблица1[[#This Row],[humidity]])</f>
        <v>29.370142491479541</v>
      </c>
      <c r="I259" s="5">
        <f>IF(Таблица1[[#This Row],[wet_bulb_thermo]]+$F$1&lt;20,20,Таблица1[[#This Row],[wet_bulb_thermo]]+$F$1)</f>
        <v>38.919365301217454</v>
      </c>
      <c r="J259" s="9">
        <f>Таблица1[[#This Row],[Tcold]]+$I$1</f>
        <v>48.919365301217454</v>
      </c>
      <c r="K259" s="12" cm="1">
        <f t="array" ref="K259">evaporation(Таблица1[[#This Row],[Thot]],Таблица1[[#This Row],[Tcold]],Таблица1[[#This Row],[temp]],Таблица1[[#This Row],[humidity_ratio]],Таблица1[[#This Row],[pressure_kpa]])/$I$1</f>
        <v>1.5679036416278483E-3</v>
      </c>
      <c r="L259">
        <f>MONTH(Таблица1[[#This Row],[date]])</f>
        <v>9</v>
      </c>
      <c r="M259" t="str">
        <f>IF(AND(Таблица1[[#This Row],[month]]&gt;3, Таблица1[[#This Row],[month]]&lt;11),"SUMMER","WINTER")</f>
        <v>SUMMER</v>
      </c>
    </row>
    <row r="260" spans="1:13" x14ac:dyDescent="0.25">
      <c r="A260" s="2">
        <v>44442</v>
      </c>
      <c r="B260" s="5">
        <v>37.4</v>
      </c>
      <c r="C260" s="5">
        <v>748.11249999999995</v>
      </c>
      <c r="D260" s="5">
        <v>51.75</v>
      </c>
      <c r="E260" s="5">
        <f>Таблица1[[#This Row],[pressure]]/760*101325</f>
        <v>99740.130345394733</v>
      </c>
      <c r="F260" s="7">
        <f>Таблица1[[#This Row],[humidity]]/100</f>
        <v>0.51749999999999996</v>
      </c>
      <c r="G260" s="5" cm="1">
        <f t="array" ref="G260">wet_bulb_temp(Таблица1[[#This Row],[temp]],Таблица1[[#This Row],[humidity_ratio]],Таблица1[[#This Row],[pressure_kpa]])</f>
        <v>28.551474917203933</v>
      </c>
      <c r="H260" s="5" cm="1">
        <f t="array" ref="H260">wet_bulb_temp_simple(Таблица1[[#This Row],[temp]],Таблица1[[#This Row],[humidity]])</f>
        <v>29.018994682727893</v>
      </c>
      <c r="I260" s="5">
        <f>IF(Таблица1[[#This Row],[wet_bulb_thermo]]+$F$1&lt;20,20,Таблица1[[#This Row],[wet_bulb_thermo]]+$F$1)</f>
        <v>38.551474917203933</v>
      </c>
      <c r="J260" s="9">
        <f>Таблица1[[#This Row],[Tcold]]+$I$1</f>
        <v>48.551474917203933</v>
      </c>
      <c r="K260" s="12" cm="1">
        <f t="array" ref="K260">evaporation(Таблица1[[#This Row],[Thot]],Таблица1[[#This Row],[Tcold]],Таблица1[[#This Row],[temp]],Таблица1[[#This Row],[humidity_ratio]],Таблица1[[#This Row],[pressure_kpa]])/$I$1</f>
        <v>1.5694638449535495E-3</v>
      </c>
      <c r="L260">
        <f>MONTH(Таблица1[[#This Row],[date]])</f>
        <v>9</v>
      </c>
      <c r="M260" t="str">
        <f>IF(AND(Таблица1[[#This Row],[month]]&gt;3, Таблица1[[#This Row],[month]]&lt;11),"SUMMER","WINTER")</f>
        <v>SUMMER</v>
      </c>
    </row>
    <row r="261" spans="1:13" x14ac:dyDescent="0.25">
      <c r="A261" s="2">
        <v>44443</v>
      </c>
      <c r="B261" s="5">
        <v>37.950000000000003</v>
      </c>
      <c r="C261" s="5">
        <v>748.13750000000005</v>
      </c>
      <c r="D261" s="5">
        <v>30.75</v>
      </c>
      <c r="E261" s="5">
        <f>Таблица1[[#This Row],[pressure]]/760*101325</f>
        <v>99743.463404605267</v>
      </c>
      <c r="F261" s="7">
        <f>Таблица1[[#This Row],[humidity]]/100</f>
        <v>0.3075</v>
      </c>
      <c r="G261" s="5" cm="1">
        <f t="array" ref="G261">wet_bulb_temp(Таблица1[[#This Row],[temp]],Таблица1[[#This Row],[humidity_ratio]],Таблица1[[#This Row],[pressure_kpa]])</f>
        <v>23.774174240327028</v>
      </c>
      <c r="H261" s="5" cm="1">
        <f t="array" ref="H261">wet_bulb_temp_simple(Таблица1[[#This Row],[temp]],Таблица1[[#This Row],[humidity]])</f>
        <v>24.576879832655525</v>
      </c>
      <c r="I261" s="5">
        <f>IF(Таблица1[[#This Row],[wet_bulb_thermo]]+$F$1&lt;20,20,Таблица1[[#This Row],[wet_bulb_thermo]]+$F$1)</f>
        <v>33.774174240327028</v>
      </c>
      <c r="J261" s="9">
        <f>Таблица1[[#This Row],[Tcold]]+$I$1</f>
        <v>43.774174240327028</v>
      </c>
      <c r="K261" s="12" cm="1">
        <f t="array" ref="K261">evaporation(Таблица1[[#This Row],[Thot]],Таблица1[[#This Row],[Tcold]],Таблица1[[#This Row],[temp]],Таблица1[[#This Row],[humidity_ratio]],Таблица1[[#This Row],[pressure_kpa]])/$I$1</f>
        <v>1.6086149074539518E-3</v>
      </c>
      <c r="L261">
        <f>MONTH(Таблица1[[#This Row],[date]])</f>
        <v>9</v>
      </c>
      <c r="M261" t="str">
        <f>IF(AND(Таблица1[[#This Row],[month]]&gt;3, Таблица1[[#This Row],[month]]&lt;11),"SUMMER","WINTER")</f>
        <v>SUMMER</v>
      </c>
    </row>
    <row r="262" spans="1:13" x14ac:dyDescent="0.25">
      <c r="A262" s="2">
        <v>44444</v>
      </c>
      <c r="B262" s="5">
        <v>38.0625</v>
      </c>
      <c r="C262" s="5">
        <v>748.5625</v>
      </c>
      <c r="D262" s="5">
        <v>13</v>
      </c>
      <c r="E262" s="5">
        <f>Таблица1[[#This Row],[pressure]]/760*101325</f>
        <v>99800.125411184199</v>
      </c>
      <c r="F262" s="7">
        <f>Таблица1[[#This Row],[humidity]]/100</f>
        <v>0.13</v>
      </c>
      <c r="G262" s="5" cm="1">
        <f t="array" ref="G262">wet_bulb_temp(Таблица1[[#This Row],[temp]],Таблица1[[#This Row],[humidity_ratio]],Таблица1[[#This Row],[pressure_kpa]])</f>
        <v>18.453817405303223</v>
      </c>
      <c r="H262" s="5" cm="1">
        <f t="array" ref="H262">wet_bulb_temp_simple(Таблица1[[#This Row],[temp]],Таблица1[[#This Row],[humidity]])</f>
        <v>18.72335970546915</v>
      </c>
      <c r="I262" s="5">
        <f>IF(Таблица1[[#This Row],[wet_bulb_thermo]]+$F$1&lt;20,20,Таблица1[[#This Row],[wet_bulb_thermo]]+$F$1)</f>
        <v>28.453817405303223</v>
      </c>
      <c r="J262" s="9">
        <f>Таблица1[[#This Row],[Tcold]]+$I$1</f>
        <v>38.453817405303226</v>
      </c>
      <c r="K262" s="12" cm="1">
        <f t="array" ref="K262">evaporation(Таблица1[[#This Row],[Thot]],Таблица1[[#This Row],[Tcold]],Таблица1[[#This Row],[temp]],Таблица1[[#This Row],[humidity_ratio]],Таблица1[[#This Row],[pressure_kpa]])/$I$1</f>
        <v>1.6776937118687051E-3</v>
      </c>
      <c r="L262">
        <f>MONTH(Таблица1[[#This Row],[date]])</f>
        <v>9</v>
      </c>
      <c r="M262" t="str">
        <f>IF(AND(Таблица1[[#This Row],[month]]&gt;3, Таблица1[[#This Row],[month]]&lt;11),"SUMMER","WINTER")</f>
        <v>SUMMER</v>
      </c>
    </row>
    <row r="263" spans="1:13" x14ac:dyDescent="0.25">
      <c r="A263" s="2">
        <v>44445</v>
      </c>
      <c r="B263" s="5">
        <v>37.012500000000003</v>
      </c>
      <c r="C263" s="5">
        <v>748.63750000000005</v>
      </c>
      <c r="D263" s="5">
        <v>16.125</v>
      </c>
      <c r="E263" s="5">
        <f>Таблица1[[#This Row],[pressure]]/760*101325</f>
        <v>99810.124588815786</v>
      </c>
      <c r="F263" s="7">
        <f>Таблица1[[#This Row],[humidity]]/100</f>
        <v>0.16125</v>
      </c>
      <c r="G263" s="5" cm="1">
        <f t="array" ref="G263">wet_bulb_temp(Таблица1[[#This Row],[temp]],Таблица1[[#This Row],[humidity_ratio]],Таблица1[[#This Row],[pressure_kpa]])</f>
        <v>18.86184979715313</v>
      </c>
      <c r="H263" s="5" cm="1">
        <f t="array" ref="H263">wet_bulb_temp_simple(Таблица1[[#This Row],[temp]],Таблица1[[#This Row],[humidity]])</f>
        <v>19.303209786692214</v>
      </c>
      <c r="I263" s="5">
        <f>IF(Таблица1[[#This Row],[wet_bulb_thermo]]+$F$1&lt;20,20,Таблица1[[#This Row],[wet_bulb_thermo]]+$F$1)</f>
        <v>28.86184979715313</v>
      </c>
      <c r="J263" s="9">
        <f>Таблица1[[#This Row],[Tcold]]+$I$1</f>
        <v>38.861849797153127</v>
      </c>
      <c r="K263" s="12" cm="1">
        <f t="array" ref="K263">evaporation(Таблица1[[#This Row],[Thot]],Таблица1[[#This Row],[Tcold]],Таблица1[[#This Row],[temp]],Таблица1[[#This Row],[humidity_ratio]],Таблица1[[#This Row],[pressure_kpa]])/$I$1</f>
        <v>1.6536652896403064E-3</v>
      </c>
      <c r="L263">
        <f>MONTH(Таблица1[[#This Row],[date]])</f>
        <v>9</v>
      </c>
      <c r="M263" t="str">
        <f>IF(AND(Таблица1[[#This Row],[month]]&gt;3, Таблица1[[#This Row],[month]]&lt;11),"SUMMER","WINTER")</f>
        <v>SUMMER</v>
      </c>
    </row>
    <row r="264" spans="1:13" x14ac:dyDescent="0.25">
      <c r="A264" s="2">
        <v>44446</v>
      </c>
      <c r="B264" s="5">
        <v>39.3125</v>
      </c>
      <c r="C264" s="5">
        <v>748.95</v>
      </c>
      <c r="D264" s="5">
        <v>14.25</v>
      </c>
      <c r="E264" s="5">
        <f>Таблица1[[#This Row],[pressure]]/760*101325</f>
        <v>99851.787828947374</v>
      </c>
      <c r="F264" s="7">
        <f>Таблица1[[#This Row],[humidity]]/100</f>
        <v>0.14249999999999999</v>
      </c>
      <c r="G264" s="5" cm="1">
        <f t="array" ref="G264">wet_bulb_temp(Таблица1[[#This Row],[temp]],Таблица1[[#This Row],[humidity_ratio]],Таблица1[[#This Row],[pressure_kpa]])</f>
        <v>19.578837971840247</v>
      </c>
      <c r="H264" s="5" cm="1">
        <f t="array" ref="H264">wet_bulb_temp_simple(Таблица1[[#This Row],[temp]],Таблица1[[#This Row],[humidity]])</f>
        <v>20.02298748765158</v>
      </c>
      <c r="I264" s="5">
        <f>IF(Таблица1[[#This Row],[wet_bulb_thermo]]+$F$1&lt;20,20,Таблица1[[#This Row],[wet_bulb_thermo]]+$F$1)</f>
        <v>29.578837971840247</v>
      </c>
      <c r="J264" s="9">
        <f>Таблица1[[#This Row],[Tcold]]+$I$1</f>
        <v>39.578837971840244</v>
      </c>
      <c r="K264" s="12" cm="1">
        <f t="array" ref="K264">evaporation(Таблица1[[#This Row],[Thot]],Таблица1[[#This Row],[Tcold]],Таблица1[[#This Row],[temp]],Таблица1[[#This Row],[humidity_ratio]],Таблица1[[#This Row],[pressure_kpa]])/$I$1</f>
        <v>1.6804142631036388E-3</v>
      </c>
      <c r="L264">
        <f>MONTH(Таблица1[[#This Row],[date]])</f>
        <v>9</v>
      </c>
      <c r="M264" t="str">
        <f>IF(AND(Таблица1[[#This Row],[month]]&gt;3, Таблица1[[#This Row],[month]]&lt;11),"SUMMER","WINTER")</f>
        <v>SUMMER</v>
      </c>
    </row>
    <row r="265" spans="1:13" x14ac:dyDescent="0.25">
      <c r="A265" s="2">
        <v>44447</v>
      </c>
      <c r="B265" s="5">
        <v>38.549999999999997</v>
      </c>
      <c r="C265" s="5">
        <v>748.96249999999998</v>
      </c>
      <c r="D265" s="5">
        <v>13.25</v>
      </c>
      <c r="E265" s="5">
        <f>Таблица1[[#This Row],[pressure]]/760*101325</f>
        <v>99853.454358552626</v>
      </c>
      <c r="F265" s="7">
        <f>Таблица1[[#This Row],[humidity]]/100</f>
        <v>0.13250000000000001</v>
      </c>
      <c r="G265" s="5" cm="1">
        <f t="array" ref="G265">wet_bulb_temp(Таблица1[[#This Row],[temp]],Таблица1[[#This Row],[humidity_ratio]],Таблица1[[#This Row],[pressure_kpa]])</f>
        <v>18.807405706764612</v>
      </c>
      <c r="H265" s="5" cm="1">
        <f t="array" ref="H265">wet_bulb_temp_simple(Таблица1[[#This Row],[temp]],Таблица1[[#This Row],[humidity]])</f>
        <v>19.128344600139261</v>
      </c>
      <c r="I265" s="5">
        <f>IF(Таблица1[[#This Row],[wet_bulb_thermo]]+$F$1&lt;20,20,Таблица1[[#This Row],[wet_bulb_thermo]]+$F$1)</f>
        <v>28.807405706764612</v>
      </c>
      <c r="J265" s="9">
        <f>Таблица1[[#This Row],[Tcold]]+$I$1</f>
        <v>38.807405706764612</v>
      </c>
      <c r="K265" s="12" cm="1">
        <f t="array" ref="K265">evaporation(Таблица1[[#This Row],[Thot]],Таблица1[[#This Row],[Tcold]],Таблица1[[#This Row],[temp]],Таблица1[[#This Row],[humidity_ratio]],Таблица1[[#This Row],[pressure_kpa]])/$I$1</f>
        <v>1.6801506002553676E-3</v>
      </c>
      <c r="L265">
        <f>MONTH(Таблица1[[#This Row],[date]])</f>
        <v>9</v>
      </c>
      <c r="M265" t="str">
        <f>IF(AND(Таблица1[[#This Row],[month]]&gt;3, Таблица1[[#This Row],[month]]&lt;11),"SUMMER","WINTER")</f>
        <v>SUMMER</v>
      </c>
    </row>
    <row r="266" spans="1:13" x14ac:dyDescent="0.25">
      <c r="A266" s="2">
        <v>44448</v>
      </c>
      <c r="B266" s="5">
        <v>35.9</v>
      </c>
      <c r="C266" s="5">
        <v>748.77499999999998</v>
      </c>
      <c r="D266" s="5">
        <v>19</v>
      </c>
      <c r="E266" s="5">
        <f>Таблица1[[#This Row],[pressure]]/760*101325</f>
        <v>99828.45641447368</v>
      </c>
      <c r="F266" s="7">
        <f>Таблица1[[#This Row],[humidity]]/100</f>
        <v>0.19</v>
      </c>
      <c r="G266" s="5" cm="1">
        <f t="array" ref="G266">wet_bulb_temp(Таблица1[[#This Row],[temp]],Таблица1[[#This Row],[humidity_ratio]],Таблица1[[#This Row],[pressure_kpa]])</f>
        <v>19.057280570282956</v>
      </c>
      <c r="H266" s="5" cm="1">
        <f t="array" ref="H266">wet_bulb_temp_simple(Таблица1[[#This Row],[temp]],Таблица1[[#This Row],[humidity]])</f>
        <v>19.585036493860493</v>
      </c>
      <c r="I266" s="5">
        <f>IF(Таблица1[[#This Row],[wet_bulb_thermo]]+$F$1&lt;20,20,Таблица1[[#This Row],[wet_bulb_thermo]]+$F$1)</f>
        <v>29.057280570282956</v>
      </c>
      <c r="J266" s="9">
        <f>Таблица1[[#This Row],[Tcold]]+$I$1</f>
        <v>39.057280570282956</v>
      </c>
      <c r="K266" s="12" cm="1">
        <f t="array" ref="K266">evaporation(Таблица1[[#This Row],[Thot]],Таблица1[[#This Row],[Tcold]],Таблица1[[#This Row],[temp]],Таблица1[[#This Row],[humidity_ratio]],Таблица1[[#This Row],[pressure_kpa]])/$I$1</f>
        <v>1.6324006705299599E-3</v>
      </c>
      <c r="L266">
        <f>MONTH(Таблица1[[#This Row],[date]])</f>
        <v>9</v>
      </c>
      <c r="M266" t="str">
        <f>IF(AND(Таблица1[[#This Row],[month]]&gt;3, Таблица1[[#This Row],[month]]&lt;11),"SUMMER","WINTER")</f>
        <v>SUMMER</v>
      </c>
    </row>
    <row r="267" spans="1:13" x14ac:dyDescent="0.25">
      <c r="A267" s="2">
        <v>44449</v>
      </c>
      <c r="B267" s="5">
        <v>35.049999999999997</v>
      </c>
      <c r="C267" s="5">
        <v>749.05</v>
      </c>
      <c r="D267" s="5">
        <v>23.375</v>
      </c>
      <c r="E267" s="5">
        <f>Таблица1[[#This Row],[pressure]]/760*101325</f>
        <v>99865.120065789466</v>
      </c>
      <c r="F267" s="7">
        <f>Таблица1[[#This Row],[humidity]]/100</f>
        <v>0.23375000000000001</v>
      </c>
      <c r="G267" s="5" cm="1">
        <f t="array" ref="G267">wet_bulb_temp(Таблица1[[#This Row],[temp]],Таблица1[[#This Row],[humidity_ratio]],Таблица1[[#This Row],[pressure_kpa]])</f>
        <v>19.747821522497581</v>
      </c>
      <c r="H267" s="5" cm="1">
        <f t="array" ref="H267">wet_bulb_temp_simple(Таблица1[[#This Row],[temp]],Таблица1[[#This Row],[humidity]])</f>
        <v>20.366676901406311</v>
      </c>
      <c r="I267" s="5">
        <f>IF(Таблица1[[#This Row],[wet_bulb_thermo]]+$F$1&lt;20,20,Таблица1[[#This Row],[wet_bulb_thermo]]+$F$1)</f>
        <v>29.747821522497581</v>
      </c>
      <c r="J267" s="9">
        <f>Таблица1[[#This Row],[Tcold]]+$I$1</f>
        <v>39.747821522497581</v>
      </c>
      <c r="K267" s="12" cm="1">
        <f t="array" ref="K267">evaporation(Таблица1[[#This Row],[Thot]],Таблица1[[#This Row],[Tcold]],Таблица1[[#This Row],[temp]],Таблица1[[#This Row],[humidity_ratio]],Таблица1[[#This Row],[pressure_kpa]])/$I$1</f>
        <v>1.6095339696804111E-3</v>
      </c>
      <c r="L267">
        <f>MONTH(Таблица1[[#This Row],[date]])</f>
        <v>9</v>
      </c>
      <c r="M267" t="str">
        <f>IF(AND(Таблица1[[#This Row],[month]]&gt;3, Таблица1[[#This Row],[month]]&lt;11),"SUMMER","WINTER")</f>
        <v>SUMMER</v>
      </c>
    </row>
    <row r="268" spans="1:13" x14ac:dyDescent="0.25">
      <c r="A268" s="2">
        <v>44450</v>
      </c>
      <c r="B268" s="5">
        <v>34.325000000000003</v>
      </c>
      <c r="C268" s="5">
        <v>748.52499999999998</v>
      </c>
      <c r="D268" s="5">
        <v>21.375</v>
      </c>
      <c r="E268" s="5">
        <f>Таблица1[[#This Row],[pressure]]/760*101325</f>
        <v>99795.125822368427</v>
      </c>
      <c r="F268" s="7">
        <f>Таблица1[[#This Row],[humidity]]/100</f>
        <v>0.21375</v>
      </c>
      <c r="G268" s="5" cm="1">
        <f t="array" ref="G268">wet_bulb_temp(Таблица1[[#This Row],[temp]],Таблица1[[#This Row],[humidity_ratio]],Таблица1[[#This Row],[pressure_kpa]])</f>
        <v>18.737708038724435</v>
      </c>
      <c r="H268" s="5" cm="1">
        <f t="array" ref="H268">wet_bulb_temp_simple(Таблица1[[#This Row],[temp]],Таблица1[[#This Row],[humidity]])</f>
        <v>19.26457215935714</v>
      </c>
      <c r="I268" s="5">
        <f>IF(Таблица1[[#This Row],[wet_bulb_thermo]]+$F$1&lt;20,20,Таблица1[[#This Row],[wet_bulb_thermo]]+$F$1)</f>
        <v>28.737708038724435</v>
      </c>
      <c r="J268" s="9">
        <f>Таблица1[[#This Row],[Tcold]]+$I$1</f>
        <v>38.737708038724435</v>
      </c>
      <c r="K268" s="12" cm="1">
        <f t="array" ref="K268">evaporation(Таблица1[[#This Row],[Thot]],Таблица1[[#This Row],[Tcold]],Таблица1[[#This Row],[temp]],Таблица1[[#This Row],[humidity_ratio]],Таблица1[[#This Row],[pressure_kpa]])/$I$1</f>
        <v>1.6105705708796473E-3</v>
      </c>
      <c r="L268">
        <f>MONTH(Таблица1[[#This Row],[date]])</f>
        <v>9</v>
      </c>
      <c r="M268" t="str">
        <f>IF(AND(Таблица1[[#This Row],[month]]&gt;3, Таблица1[[#This Row],[month]]&lt;11),"SUMMER","WINTER")</f>
        <v>SUMMER</v>
      </c>
    </row>
    <row r="269" spans="1:13" x14ac:dyDescent="0.25">
      <c r="A269" s="2">
        <v>44451</v>
      </c>
      <c r="B269" s="5">
        <v>34.9</v>
      </c>
      <c r="C269" s="5">
        <v>749.08749999999998</v>
      </c>
      <c r="D269" s="5">
        <v>21.75</v>
      </c>
      <c r="E269" s="5">
        <f>Таблица1[[#This Row],[pressure]]/760*101325</f>
        <v>99870.119654605267</v>
      </c>
      <c r="F269" s="7">
        <f>Таблица1[[#This Row],[humidity]]/100</f>
        <v>0.2175</v>
      </c>
      <c r="G269" s="5" cm="1">
        <f t="array" ref="G269">wet_bulb_temp(Таблица1[[#This Row],[temp]],Таблица1[[#This Row],[humidity_ratio]],Таблица1[[#This Row],[pressure_kpa]])</f>
        <v>19.204656061926631</v>
      </c>
      <c r="H269" s="5" cm="1">
        <f t="array" ref="H269">wet_bulb_temp_simple(Таблица1[[#This Row],[temp]],Таблица1[[#This Row],[humidity]])</f>
        <v>19.776726071659578</v>
      </c>
      <c r="I269" s="5">
        <f>IF(Таблица1[[#This Row],[wet_bulb_thermo]]+$F$1&lt;20,20,Таблица1[[#This Row],[wet_bulb_thermo]]+$F$1)</f>
        <v>29.204656061926631</v>
      </c>
      <c r="J269" s="9">
        <f>Таблица1[[#This Row],[Tcold]]+$I$1</f>
        <v>39.204656061926627</v>
      </c>
      <c r="K269" s="12" cm="1">
        <f t="array" ref="K269">evaporation(Таблица1[[#This Row],[Thot]],Таблица1[[#This Row],[Tcold]],Таблица1[[#This Row],[temp]],Таблица1[[#This Row],[humidity_ratio]],Таблица1[[#This Row],[pressure_kpa]])/$I$1</f>
        <v>1.6139477524593948E-3</v>
      </c>
      <c r="L269">
        <f>MONTH(Таблица1[[#This Row],[date]])</f>
        <v>9</v>
      </c>
      <c r="M269" t="str">
        <f>IF(AND(Таблица1[[#This Row],[month]]&gt;3, Таблица1[[#This Row],[month]]&lt;11),"SUMMER","WINTER")</f>
        <v>SUMMER</v>
      </c>
    </row>
    <row r="270" spans="1:13" x14ac:dyDescent="0.25">
      <c r="A270" s="2">
        <v>44452</v>
      </c>
      <c r="B270" s="5">
        <v>34.587499999999999</v>
      </c>
      <c r="C270" s="5">
        <v>749.375</v>
      </c>
      <c r="D270" s="5">
        <v>22.125</v>
      </c>
      <c r="E270" s="5">
        <f>Таблица1[[#This Row],[pressure]]/760*101325</f>
        <v>99908.44983552632</v>
      </c>
      <c r="F270" s="7">
        <f>Таблица1[[#This Row],[humidity]]/100</f>
        <v>0.22125</v>
      </c>
      <c r="G270" s="5" cm="1">
        <f t="array" ref="G270">wet_bulb_temp(Таблица1[[#This Row],[temp]],Таблица1[[#This Row],[humidity_ratio]],Таблица1[[#This Row],[pressure_kpa]])</f>
        <v>19.103587869705148</v>
      </c>
      <c r="H270" s="5" cm="1">
        <f t="array" ref="H270">wet_bulb_temp_simple(Таблица1[[#This Row],[temp]],Таблица1[[#This Row],[humidity]])</f>
        <v>19.671842995734544</v>
      </c>
      <c r="I270" s="5">
        <f>IF(Таблица1[[#This Row],[wet_bulb_thermo]]+$F$1&lt;20,20,Таблица1[[#This Row],[wet_bulb_thermo]]+$F$1)</f>
        <v>29.103587869705148</v>
      </c>
      <c r="J270" s="9">
        <f>Таблица1[[#This Row],[Tcold]]+$I$1</f>
        <v>39.103587869705152</v>
      </c>
      <c r="K270" s="12" cm="1">
        <f t="array" ref="K270">evaporation(Таблица1[[#This Row],[Thot]],Таблица1[[#This Row],[Tcold]],Таблица1[[#This Row],[temp]],Таблица1[[#This Row],[humidity_ratio]],Таблица1[[#This Row],[pressure_kpa]])/$I$1</f>
        <v>1.610078488504767E-3</v>
      </c>
      <c r="L270">
        <f>MONTH(Таблица1[[#This Row],[date]])</f>
        <v>9</v>
      </c>
      <c r="M270" t="str">
        <f>IF(AND(Таблица1[[#This Row],[month]]&gt;3, Таблица1[[#This Row],[month]]&lt;11),"SUMMER","WINTER")</f>
        <v>SUMMER</v>
      </c>
    </row>
    <row r="271" spans="1:13" x14ac:dyDescent="0.25">
      <c r="A271" s="2">
        <v>44453</v>
      </c>
      <c r="B271" s="5">
        <v>34.700000000000003</v>
      </c>
      <c r="C271" s="5">
        <v>749.65</v>
      </c>
      <c r="D271" s="5">
        <v>21.75</v>
      </c>
      <c r="E271" s="5">
        <f>Таблица1[[#This Row],[pressure]]/760*101325</f>
        <v>99945.113486842107</v>
      </c>
      <c r="F271" s="7">
        <f>Таблица1[[#This Row],[humidity]]/100</f>
        <v>0.2175</v>
      </c>
      <c r="G271" s="5" cm="1">
        <f t="array" ref="G271">wet_bulb_temp(Таблица1[[#This Row],[temp]],Таблица1[[#This Row],[humidity_ratio]],Таблица1[[#This Row],[pressure_kpa]])</f>
        <v>19.071608455523837</v>
      </c>
      <c r="H271" s="5" cm="1">
        <f t="array" ref="H271">wet_bulb_temp_simple(Таблица1[[#This Row],[temp]],Таблица1[[#This Row],[humidity]])</f>
        <v>19.637720417239823</v>
      </c>
      <c r="I271" s="5">
        <f>IF(Таблица1[[#This Row],[wet_bulb_thermo]]+$F$1&lt;20,20,Таблица1[[#This Row],[wet_bulb_thermo]]+$F$1)</f>
        <v>29.071608455523837</v>
      </c>
      <c r="J271" s="9">
        <f>Таблица1[[#This Row],[Tcold]]+$I$1</f>
        <v>39.071608455523837</v>
      </c>
      <c r="K271" s="12" cm="1">
        <f t="array" ref="K271">evaporation(Таблица1[[#This Row],[Thot]],Таблица1[[#This Row],[Tcold]],Таблица1[[#This Row],[temp]],Таблица1[[#This Row],[humidity_ratio]],Таблица1[[#This Row],[pressure_kpa]])/$I$1</f>
        <v>1.6123132250084372E-3</v>
      </c>
      <c r="L271">
        <f>MONTH(Таблица1[[#This Row],[date]])</f>
        <v>9</v>
      </c>
      <c r="M271" t="str">
        <f>IF(AND(Таблица1[[#This Row],[month]]&gt;3, Таблица1[[#This Row],[month]]&lt;11),"SUMMER","WINTER")</f>
        <v>SUMMER</v>
      </c>
    </row>
    <row r="272" spans="1:13" x14ac:dyDescent="0.25">
      <c r="A272" s="2">
        <v>44454</v>
      </c>
      <c r="B272" s="5">
        <v>34.8125</v>
      </c>
      <c r="C272" s="5">
        <v>750.35</v>
      </c>
      <c r="D272" s="5">
        <v>20.625</v>
      </c>
      <c r="E272" s="5">
        <f>Таблица1[[#This Row],[pressure]]/760*101325</f>
        <v>100038.43914473684</v>
      </c>
      <c r="F272" s="7">
        <f>Таблица1[[#This Row],[humidity]]/100</f>
        <v>0.20624999999999999</v>
      </c>
      <c r="G272" s="5" cm="1">
        <f t="array" ref="G272">wet_bulb_temp(Таблица1[[#This Row],[temp]],Таблица1[[#This Row],[humidity_ratio]],Таблица1[[#This Row],[pressure_kpa]])</f>
        <v>18.827931263833236</v>
      </c>
      <c r="H272" s="5" cm="1">
        <f t="array" ref="H272">wet_bulb_temp_simple(Таблица1[[#This Row],[temp]],Таблица1[[#This Row],[humidity]])</f>
        <v>19.37073462811999</v>
      </c>
      <c r="I272" s="5">
        <f>IF(Таблица1[[#This Row],[wet_bulb_thermo]]+$F$1&lt;20,20,Таблица1[[#This Row],[wet_bulb_thermo]]+$F$1)</f>
        <v>28.827931263833236</v>
      </c>
      <c r="J272" s="9">
        <f>Таблица1[[#This Row],[Tcold]]+$I$1</f>
        <v>38.827931263833236</v>
      </c>
      <c r="K272" s="12" cm="1">
        <f t="array" ref="K272">evaporation(Таблица1[[#This Row],[Thot]],Таблица1[[#This Row],[Tcold]],Таблица1[[#This Row],[temp]],Таблица1[[#This Row],[humidity_ratio]],Таблица1[[#This Row],[pressure_kpa]])/$I$1</f>
        <v>1.6173136865207216E-3</v>
      </c>
      <c r="L272">
        <f>MONTH(Таблица1[[#This Row],[date]])</f>
        <v>9</v>
      </c>
      <c r="M272" t="str">
        <f>IF(AND(Таблица1[[#This Row],[month]]&gt;3, Таблица1[[#This Row],[month]]&lt;11),"SUMMER","WINTER")</f>
        <v>SUMMER</v>
      </c>
    </row>
    <row r="273" spans="1:13" x14ac:dyDescent="0.25">
      <c r="A273" s="2">
        <v>44455</v>
      </c>
      <c r="B273" s="5">
        <v>34.975000000000001</v>
      </c>
      <c r="C273" s="5">
        <v>750.07500000000005</v>
      </c>
      <c r="D273" s="5">
        <v>19.5</v>
      </c>
      <c r="E273" s="5">
        <f>Таблица1[[#This Row],[pressure]]/760*101325</f>
        <v>100001.77549342105</v>
      </c>
      <c r="F273" s="7">
        <f>Таблица1[[#This Row],[humidity]]/100</f>
        <v>0.19500000000000001</v>
      </c>
      <c r="G273" s="5" cm="1">
        <f t="array" ref="G273">wet_bulb_temp(Таблица1[[#This Row],[temp]],Таблица1[[#This Row],[humidity_ratio]],Таблица1[[#This Row],[pressure_kpa]])</f>
        <v>18.617336168189446</v>
      </c>
      <c r="H273" s="5" cm="1">
        <f t="array" ref="H273">wet_bulb_temp_simple(Таблица1[[#This Row],[temp]],Таблица1[[#This Row],[humidity]])</f>
        <v>19.125627605140163</v>
      </c>
      <c r="I273" s="5">
        <f>IF(Таблица1[[#This Row],[wet_bulb_thermo]]+$F$1&lt;20,20,Таблица1[[#This Row],[wet_bulb_thermo]]+$F$1)</f>
        <v>28.617336168189446</v>
      </c>
      <c r="J273" s="9">
        <f>Таблица1[[#This Row],[Tcold]]+$I$1</f>
        <v>38.617336168189446</v>
      </c>
      <c r="K273" s="12" cm="1">
        <f t="array" ref="K273">evaporation(Таблица1[[#This Row],[Thot]],Таблица1[[#This Row],[Tcold]],Таблица1[[#This Row],[temp]],Таблица1[[#This Row],[humidity_ratio]],Таблица1[[#This Row],[pressure_kpa]])/$I$1</f>
        <v>1.6229342511880345E-3</v>
      </c>
      <c r="L273">
        <f>MONTH(Таблица1[[#This Row],[date]])</f>
        <v>9</v>
      </c>
      <c r="M273" t="str">
        <f>IF(AND(Таблица1[[#This Row],[month]]&gt;3, Таблица1[[#This Row],[month]]&lt;11),"SUMMER","WINTER")</f>
        <v>SUMMER</v>
      </c>
    </row>
    <row r="274" spans="1:13" x14ac:dyDescent="0.25">
      <c r="A274" s="2">
        <v>44456</v>
      </c>
      <c r="B274" s="5">
        <v>34.1</v>
      </c>
      <c r="C274" s="5">
        <v>749</v>
      </c>
      <c r="D274" s="5">
        <v>21.285714285714281</v>
      </c>
      <c r="E274" s="5">
        <f>Таблица1[[#This Row],[pressure]]/760*101325</f>
        <v>99858.453947368427</v>
      </c>
      <c r="F274" s="7">
        <f>Таблица1[[#This Row],[humidity]]/100</f>
        <v>0.2128571428571428</v>
      </c>
      <c r="G274" s="5" cm="1">
        <f t="array" ref="G274">wet_bulb_temp(Таблица1[[#This Row],[temp]],Таблица1[[#This Row],[humidity_ratio]],Таблица1[[#This Row],[pressure_kpa]])</f>
        <v>18.566018361790956</v>
      </c>
      <c r="H274" s="5" cm="1">
        <f t="array" ref="H274">wet_bulb_temp_simple(Таблица1[[#This Row],[temp]],Таблица1[[#This Row],[humidity]])</f>
        <v>19.082110638050295</v>
      </c>
      <c r="I274" s="5">
        <f>IF(Таблица1[[#This Row],[wet_bulb_thermo]]+$F$1&lt;20,20,Таблица1[[#This Row],[wet_bulb_thermo]]+$F$1)</f>
        <v>28.566018361790956</v>
      </c>
      <c r="J274" s="9">
        <f>Таблица1[[#This Row],[Tcold]]+$I$1</f>
        <v>38.566018361790952</v>
      </c>
      <c r="K274" s="12" cm="1">
        <f t="array" ref="K274">evaporation(Таблица1[[#This Row],[Thot]],Таблица1[[#This Row],[Tcold]],Таблица1[[#This Row],[temp]],Таблица1[[#This Row],[humidity_ratio]],Таблица1[[#This Row],[pressure_kpa]])/$I$1</f>
        <v>1.6089929907889919E-3</v>
      </c>
      <c r="L274">
        <f>MONTH(Таблица1[[#This Row],[date]])</f>
        <v>9</v>
      </c>
      <c r="M274" t="str">
        <f>IF(AND(Таблица1[[#This Row],[month]]&gt;3, Таблица1[[#This Row],[month]]&lt;11),"SUMMER","WINTER")</f>
        <v>SUMMER</v>
      </c>
    </row>
    <row r="275" spans="1:13" x14ac:dyDescent="0.25">
      <c r="A275" s="2">
        <v>44457</v>
      </c>
      <c r="B275" s="5">
        <v>36.271428571428572</v>
      </c>
      <c r="C275" s="5">
        <v>749.9</v>
      </c>
      <c r="D275" s="5">
        <v>17.142857142857139</v>
      </c>
      <c r="E275" s="5">
        <f>Таблица1[[#This Row],[pressure]]/760*101325</f>
        <v>99978.444078947374</v>
      </c>
      <c r="F275" s="7">
        <f>Таблица1[[#This Row],[humidity]]/100</f>
        <v>0.17142857142857137</v>
      </c>
      <c r="G275" s="5" cm="1">
        <f t="array" ref="G275">wet_bulb_temp(Таблица1[[#This Row],[temp]],Таблица1[[#This Row],[humidity_ratio]],Таблица1[[#This Row],[pressure_kpa]])</f>
        <v>18.724433627767471</v>
      </c>
      <c r="H275" s="5" cm="1">
        <f t="array" ref="H275">wet_bulb_temp_simple(Таблица1[[#This Row],[temp]],Таблица1[[#This Row],[humidity]])</f>
        <v>19.192050315563378</v>
      </c>
      <c r="I275" s="5">
        <f>IF(Таблица1[[#This Row],[wet_bulb_thermo]]+$F$1&lt;20,20,Таблица1[[#This Row],[wet_bulb_thermo]]+$F$1)</f>
        <v>28.724433627767471</v>
      </c>
      <c r="J275" s="9">
        <f>Таблица1[[#This Row],[Tcold]]+$I$1</f>
        <v>38.724433627767468</v>
      </c>
      <c r="K275" s="12" cm="1">
        <f t="array" ref="K275">evaporation(Таблица1[[#This Row],[Thot]],Таблица1[[#This Row],[Tcold]],Таблица1[[#This Row],[temp]],Таблица1[[#This Row],[humidity_ratio]],Таблица1[[#This Row],[pressure_kpa]])/$I$1</f>
        <v>1.6432342156919451E-3</v>
      </c>
      <c r="L275">
        <f>MONTH(Таблица1[[#This Row],[date]])</f>
        <v>9</v>
      </c>
      <c r="M275" t="str">
        <f>IF(AND(Таблица1[[#This Row],[month]]&gt;3, Таблица1[[#This Row],[month]]&lt;11),"SUMMER","WINTER")</f>
        <v>SUMMER</v>
      </c>
    </row>
    <row r="276" spans="1:13" x14ac:dyDescent="0.25">
      <c r="A276" s="2">
        <v>44458</v>
      </c>
      <c r="B276" s="5">
        <v>35.15</v>
      </c>
      <c r="C276" s="5">
        <v>751.91250000000002</v>
      </c>
      <c r="D276" s="5">
        <v>22.75</v>
      </c>
      <c r="E276" s="5">
        <f>Таблица1[[#This Row],[pressure]]/760*101325</f>
        <v>100246.75534539475</v>
      </c>
      <c r="F276" s="7">
        <f>Таблица1[[#This Row],[humidity]]/100</f>
        <v>0.22750000000000001</v>
      </c>
      <c r="G276" s="5" cm="1">
        <f t="array" ref="G276">wet_bulb_temp(Таблица1[[#This Row],[temp]],Таблица1[[#This Row],[humidity_ratio]],Таблица1[[#This Row],[pressure_kpa]])</f>
        <v>19.618260381966291</v>
      </c>
      <c r="H276" s="5" cm="1">
        <f t="array" ref="H276">wet_bulb_temp_simple(Таблица1[[#This Row],[temp]],Таблица1[[#This Row],[humidity]])</f>
        <v>20.252335106272298</v>
      </c>
      <c r="I276" s="5">
        <f>IF(Таблица1[[#This Row],[wet_bulb_thermo]]+$F$1&lt;20,20,Таблица1[[#This Row],[wet_bulb_thermo]]+$F$1)</f>
        <v>29.618260381966291</v>
      </c>
      <c r="J276" s="9">
        <f>Таблица1[[#This Row],[Tcold]]+$I$1</f>
        <v>39.618260381966294</v>
      </c>
      <c r="K276" s="12" cm="1">
        <f t="array" ref="K276">evaporation(Таблица1[[#This Row],[Thot]],Таблица1[[#This Row],[Tcold]],Таблица1[[#This Row],[temp]],Таблица1[[#This Row],[humidity_ratio]],Таблица1[[#This Row],[pressure_kpa]])/$I$1</f>
        <v>1.6124071362617579E-3</v>
      </c>
      <c r="L276">
        <f>MONTH(Таблица1[[#This Row],[date]])</f>
        <v>9</v>
      </c>
      <c r="M276" t="str">
        <f>IF(AND(Таблица1[[#This Row],[month]]&gt;3, Таблица1[[#This Row],[month]]&lt;11),"SUMMER","WINTER")</f>
        <v>SUMMER</v>
      </c>
    </row>
    <row r="277" spans="1:13" x14ac:dyDescent="0.25">
      <c r="A277" s="2">
        <v>44459</v>
      </c>
      <c r="B277" s="5">
        <v>32.662500000000001</v>
      </c>
      <c r="C277" s="5">
        <v>752.4375</v>
      </c>
      <c r="D277" s="5">
        <v>20.5</v>
      </c>
      <c r="E277" s="5">
        <f>Таблица1[[#This Row],[pressure]]/760*101325</f>
        <v>100316.74958881579</v>
      </c>
      <c r="F277" s="7">
        <f>Таблица1[[#This Row],[humidity]]/100</f>
        <v>0.20499999999999999</v>
      </c>
      <c r="G277" s="5" cm="1">
        <f t="array" ref="G277">wet_bulb_temp(Таблица1[[#This Row],[temp]],Таблица1[[#This Row],[humidity_ratio]],Таблица1[[#This Row],[pressure_kpa]])</f>
        <v>17.420141983868692</v>
      </c>
      <c r="H277" s="5" cm="1">
        <f t="array" ref="H277">wet_bulb_temp_simple(Таблица1[[#This Row],[temp]],Таблица1[[#This Row],[humidity]])</f>
        <v>17.859828117716102</v>
      </c>
      <c r="I277" s="5">
        <f>IF(Таблица1[[#This Row],[wet_bulb_thermo]]+$F$1&lt;20,20,Таблица1[[#This Row],[wet_bulb_thermo]]+$F$1)</f>
        <v>27.420141983868692</v>
      </c>
      <c r="J277" s="9">
        <f>Таблица1[[#This Row],[Tcold]]+$I$1</f>
        <v>37.420141983868689</v>
      </c>
      <c r="K277" s="12" cm="1">
        <f t="array" ref="K277">evaporation(Таблица1[[#This Row],[Thot]],Таблица1[[#This Row],[Tcold]],Таблица1[[#This Row],[temp]],Таблица1[[#This Row],[humidity_ratio]],Таблица1[[#This Row],[pressure_kpa]])/$I$1</f>
        <v>1.599079703498444E-3</v>
      </c>
      <c r="L277">
        <f>MONTH(Таблица1[[#This Row],[date]])</f>
        <v>9</v>
      </c>
      <c r="M277" t="str">
        <f>IF(AND(Таблица1[[#This Row],[month]]&gt;3, Таблица1[[#This Row],[month]]&lt;11),"SUMMER","WINTER")</f>
        <v>SUMMER</v>
      </c>
    </row>
    <row r="278" spans="1:13" x14ac:dyDescent="0.25">
      <c r="A278" s="2">
        <v>44460</v>
      </c>
      <c r="B278" s="5">
        <v>33.362499999999997</v>
      </c>
      <c r="C278" s="5">
        <v>751.0625</v>
      </c>
      <c r="D278" s="5">
        <v>20.5</v>
      </c>
      <c r="E278" s="5">
        <f>Таблица1[[#This Row],[pressure]]/760*101325</f>
        <v>100133.43133223684</v>
      </c>
      <c r="F278" s="7">
        <f>Таблица1[[#This Row],[humidity]]/100</f>
        <v>0.20499999999999999</v>
      </c>
      <c r="G278" s="5" cm="1">
        <f t="array" ref="G278">wet_bulb_temp(Таблица1[[#This Row],[temp]],Таблица1[[#This Row],[humidity_ratio]],Таблица1[[#This Row],[pressure_kpa]])</f>
        <v>17.872093738035861</v>
      </c>
      <c r="H278" s="5" cm="1">
        <f t="array" ref="H278">wet_bulb_temp_simple(Таблица1[[#This Row],[temp]],Таблица1[[#This Row],[humidity]])</f>
        <v>18.339078037325955</v>
      </c>
      <c r="I278" s="5">
        <f>IF(Таблица1[[#This Row],[wet_bulb_thermo]]+$F$1&lt;20,20,Таблица1[[#This Row],[wet_bulb_thermo]]+$F$1)</f>
        <v>27.872093738035861</v>
      </c>
      <c r="J278" s="9">
        <f>Таблица1[[#This Row],[Tcold]]+$I$1</f>
        <v>37.872093738035858</v>
      </c>
      <c r="K278" s="12" cm="1">
        <f t="array" ref="K278">evaporation(Таблица1[[#This Row],[Thot]],Таблица1[[#This Row],[Tcold]],Таблица1[[#This Row],[temp]],Таблица1[[#This Row],[humidity_ratio]],Таблица1[[#This Row],[pressure_kpa]])/$I$1</f>
        <v>1.6054019111929028E-3</v>
      </c>
      <c r="L278">
        <f>MONTH(Таблица1[[#This Row],[date]])</f>
        <v>9</v>
      </c>
      <c r="M278" t="str">
        <f>IF(AND(Таблица1[[#This Row],[month]]&gt;3, Таблица1[[#This Row],[month]]&lt;11),"SUMMER","WINTER")</f>
        <v>SUMMER</v>
      </c>
    </row>
    <row r="279" spans="1:13" x14ac:dyDescent="0.25">
      <c r="A279" s="2">
        <v>44461</v>
      </c>
      <c r="B279" s="5">
        <v>32.887500000000003</v>
      </c>
      <c r="C279" s="5">
        <v>749.42499999999995</v>
      </c>
      <c r="D279" s="5">
        <v>21.125</v>
      </c>
      <c r="E279" s="5">
        <f>Таблица1[[#This Row],[pressure]]/760*101325</f>
        <v>99915.115953947359</v>
      </c>
      <c r="F279" s="7">
        <f>Таблица1[[#This Row],[humidity]]/100</f>
        <v>0.21124999999999999</v>
      </c>
      <c r="G279" s="5" cm="1">
        <f t="array" ref="G279">wet_bulb_temp(Таблица1[[#This Row],[temp]],Таблица1[[#This Row],[humidity_ratio]],Таблица1[[#This Row],[pressure_kpa]])</f>
        <v>17.74644647554333</v>
      </c>
      <c r="H279" s="5" cm="1">
        <f t="array" ref="H279">wet_bulb_temp_simple(Таблица1[[#This Row],[temp]],Таблица1[[#This Row],[humidity]])</f>
        <v>18.197284394716192</v>
      </c>
      <c r="I279" s="5">
        <f>IF(Таблица1[[#This Row],[wet_bulb_thermo]]+$F$1&lt;20,20,Таблица1[[#This Row],[wet_bulb_thermo]]+$F$1)</f>
        <v>27.74644647554333</v>
      </c>
      <c r="J279" s="9">
        <f>Таблица1[[#This Row],[Tcold]]+$I$1</f>
        <v>37.74644647554333</v>
      </c>
      <c r="K279" s="12" cm="1">
        <f t="array" ref="K279">evaporation(Таблица1[[#This Row],[Thot]],Таблица1[[#This Row],[Tcold]],Таблица1[[#This Row],[temp]],Таблица1[[#This Row],[humidity_ratio]],Таблица1[[#This Row],[pressure_kpa]])/$I$1</f>
        <v>1.5990209374815983E-3</v>
      </c>
      <c r="L279">
        <f>MONTH(Таблица1[[#This Row],[date]])</f>
        <v>9</v>
      </c>
      <c r="M279" t="str">
        <f>IF(AND(Таблица1[[#This Row],[month]]&gt;3, Таблица1[[#This Row],[month]]&lt;11),"SUMMER","WINTER")</f>
        <v>SUMMER</v>
      </c>
    </row>
    <row r="280" spans="1:13" x14ac:dyDescent="0.25">
      <c r="A280" s="2">
        <v>44462</v>
      </c>
      <c r="B280" s="5">
        <v>31.45</v>
      </c>
      <c r="C280" s="5">
        <v>749.86249999999995</v>
      </c>
      <c r="D280" s="5">
        <v>23.75</v>
      </c>
      <c r="E280" s="5">
        <f>Таблица1[[#This Row],[pressure]]/760*101325</f>
        <v>99973.444490131573</v>
      </c>
      <c r="F280" s="7">
        <f>Таблица1[[#This Row],[humidity]]/100</f>
        <v>0.23749999999999999</v>
      </c>
      <c r="G280" s="5" cm="1">
        <f t="array" ref="G280">wet_bulb_temp(Таблица1[[#This Row],[temp]],Таблица1[[#This Row],[humidity_ratio]],Таблица1[[#This Row],[pressure_kpa]])</f>
        <v>17.469038498594049</v>
      </c>
      <c r="H280" s="5" cm="1">
        <f t="array" ref="H280">wet_bulb_temp_simple(Таблица1[[#This Row],[temp]],Таблица1[[#This Row],[humidity]])</f>
        <v>17.916965510776564</v>
      </c>
      <c r="I280" s="5">
        <f>IF(Таблица1[[#This Row],[wet_bulb_thermo]]+$F$1&lt;20,20,Таблица1[[#This Row],[wet_bulb_thermo]]+$F$1)</f>
        <v>27.469038498594049</v>
      </c>
      <c r="J280" s="9">
        <f>Таблица1[[#This Row],[Tcold]]+$I$1</f>
        <v>37.469038498594045</v>
      </c>
      <c r="K280" s="12" cm="1">
        <f t="array" ref="K280">evaporation(Таблица1[[#This Row],[Thot]],Таблица1[[#This Row],[Tcold]],Таблица1[[#This Row],[temp]],Таблица1[[#This Row],[humidity_ratio]],Таблица1[[#This Row],[pressure_kpa]])/$I$1</f>
        <v>1.5772800747889787E-3</v>
      </c>
      <c r="L280">
        <f>MONTH(Таблица1[[#This Row],[date]])</f>
        <v>9</v>
      </c>
      <c r="M280" t="str">
        <f>IF(AND(Таблица1[[#This Row],[month]]&gt;3, Таблица1[[#This Row],[month]]&lt;11),"SUMMER","WINTER")</f>
        <v>SUMMER</v>
      </c>
    </row>
    <row r="281" spans="1:13" x14ac:dyDescent="0.25">
      <c r="A281" s="2">
        <v>44463</v>
      </c>
      <c r="B281" s="5">
        <v>31.987500000000001</v>
      </c>
      <c r="C281" s="5">
        <v>751.61249999999995</v>
      </c>
      <c r="D281" s="5">
        <v>22</v>
      </c>
      <c r="E281" s="5">
        <f>Таблица1[[#This Row],[pressure]]/760*101325</f>
        <v>100206.75863486843</v>
      </c>
      <c r="F281" s="7">
        <f>Таблица1[[#This Row],[humidity]]/100</f>
        <v>0.22</v>
      </c>
      <c r="G281" s="5" cm="1">
        <f t="array" ref="G281">wet_bulb_temp(Таблица1[[#This Row],[temp]],Таблица1[[#This Row],[humidity_ratio]],Таблица1[[#This Row],[pressure_kpa]])</f>
        <v>17.376214400801231</v>
      </c>
      <c r="H281" s="5" cm="1">
        <f t="array" ref="H281">wet_bulb_temp_simple(Таблица1[[#This Row],[temp]],Таблица1[[#This Row],[humidity]])</f>
        <v>17.822107600549799</v>
      </c>
      <c r="I281" s="5">
        <f>IF(Таблица1[[#This Row],[wet_bulb_thermo]]+$F$1&lt;20,20,Таблица1[[#This Row],[wet_bulb_thermo]]+$F$1)</f>
        <v>27.376214400801231</v>
      </c>
      <c r="J281" s="9">
        <f>Таблица1[[#This Row],[Tcold]]+$I$1</f>
        <v>37.376214400801231</v>
      </c>
      <c r="K281" s="12" cm="1">
        <f t="array" ref="K281">evaporation(Таблица1[[#This Row],[Thot]],Таблица1[[#This Row],[Tcold]],Таблица1[[#This Row],[temp]],Таблица1[[#This Row],[humidity_ratio]],Таблица1[[#This Row],[pressure_kpa]])/$I$1</f>
        <v>1.5877571783213436E-3</v>
      </c>
      <c r="L281">
        <f>MONTH(Таблица1[[#This Row],[date]])</f>
        <v>9</v>
      </c>
      <c r="M281" t="str">
        <f>IF(AND(Таблица1[[#This Row],[month]]&gt;3, Таблица1[[#This Row],[month]]&lt;11),"SUMMER","WINTER")</f>
        <v>SUMMER</v>
      </c>
    </row>
    <row r="282" spans="1:13" x14ac:dyDescent="0.25">
      <c r="A282" s="2">
        <v>44464</v>
      </c>
      <c r="B282" s="5">
        <v>34.337499999999999</v>
      </c>
      <c r="C282" s="5">
        <v>753.6875</v>
      </c>
      <c r="D282" s="5">
        <v>21.25</v>
      </c>
      <c r="E282" s="5">
        <f>Таблица1[[#This Row],[pressure]]/760*101325</f>
        <v>100483.40254934211</v>
      </c>
      <c r="F282" s="7">
        <f>Таблица1[[#This Row],[humidity]]/100</f>
        <v>0.21249999999999999</v>
      </c>
      <c r="G282" s="5" cm="1">
        <f t="array" ref="G282">wet_bulb_temp(Таблица1[[#This Row],[temp]],Таблица1[[#This Row],[humidity_ratio]],Таблица1[[#This Row],[pressure_kpa]])</f>
        <v>18.672067296268974</v>
      </c>
      <c r="H282" s="5" cm="1">
        <f t="array" ref="H282">wet_bulb_temp_simple(Таблица1[[#This Row],[temp]],Таблица1[[#This Row],[humidity]])</f>
        <v>19.235479217819965</v>
      </c>
      <c r="I282" s="5">
        <f>IF(Таблица1[[#This Row],[wet_bulb_thermo]]+$F$1&lt;20,20,Таблица1[[#This Row],[wet_bulb_thermo]]+$F$1)</f>
        <v>28.672067296268974</v>
      </c>
      <c r="J282" s="9">
        <f>Таблица1[[#This Row],[Tcold]]+$I$1</f>
        <v>38.672067296268978</v>
      </c>
      <c r="K282" s="12" cm="1">
        <f t="array" ref="K282">evaporation(Таблица1[[#This Row],[Thot]],Таблица1[[#This Row],[Tcold]],Таблица1[[#This Row],[temp]],Таблица1[[#This Row],[humidity_ratio]],Таблица1[[#This Row],[pressure_kpa]])/$I$1</f>
        <v>1.6110318120173554E-3</v>
      </c>
      <c r="L282">
        <f>MONTH(Таблица1[[#This Row],[date]])</f>
        <v>9</v>
      </c>
      <c r="M282" t="str">
        <f>IF(AND(Таблица1[[#This Row],[month]]&gt;3, Таблица1[[#This Row],[month]]&lt;11),"SUMMER","WINTER")</f>
        <v>SUMMER</v>
      </c>
    </row>
    <row r="283" spans="1:13" x14ac:dyDescent="0.25">
      <c r="A283" s="2">
        <v>44465</v>
      </c>
      <c r="B283" s="5">
        <v>31.824999999999999</v>
      </c>
      <c r="C283" s="5">
        <v>752.41250000000002</v>
      </c>
      <c r="D283" s="5">
        <v>24.125</v>
      </c>
      <c r="E283" s="5">
        <f>Таблица1[[#This Row],[pressure]]/760*101325</f>
        <v>100313.41652960527</v>
      </c>
      <c r="F283" s="7">
        <f>Таблица1[[#This Row],[humidity]]/100</f>
        <v>0.24124999999999999</v>
      </c>
      <c r="G283" s="5" cm="1">
        <f t="array" ref="G283">wet_bulb_temp(Таблица1[[#This Row],[temp]],Таблица1[[#This Row],[humidity_ratio]],Таблица1[[#This Row],[pressure_kpa]])</f>
        <v>17.788077009429074</v>
      </c>
      <c r="H283" s="5" cm="1">
        <f t="array" ref="H283">wet_bulb_temp_simple(Таблица1[[#This Row],[temp]],Таблица1[[#This Row],[humidity]])</f>
        <v>18.282936422606994</v>
      </c>
      <c r="I283" s="5">
        <f>IF(Таблица1[[#This Row],[wet_bulb_thermo]]+$F$1&lt;20,20,Таблица1[[#This Row],[wet_bulb_thermo]]+$F$1)</f>
        <v>27.788077009429074</v>
      </c>
      <c r="J283" s="9">
        <f>Таблица1[[#This Row],[Tcold]]+$I$1</f>
        <v>37.788077009429074</v>
      </c>
      <c r="K283" s="12" cm="1">
        <f t="array" ref="K283">evaporation(Таблица1[[#This Row],[Thot]],Таблица1[[#This Row],[Tcold]],Таблица1[[#This Row],[temp]],Таблица1[[#This Row],[humidity_ratio]],Таблица1[[#This Row],[pressure_kpa]])/$I$1</f>
        <v>1.5794189573991237E-3</v>
      </c>
      <c r="L283">
        <f>MONTH(Таблица1[[#This Row],[date]])</f>
        <v>9</v>
      </c>
      <c r="M283" t="str">
        <f>IF(AND(Таблица1[[#This Row],[month]]&gt;3, Таблица1[[#This Row],[month]]&lt;11),"SUMMER","WINTER")</f>
        <v>SUMMER</v>
      </c>
    </row>
    <row r="284" spans="1:13" x14ac:dyDescent="0.25">
      <c r="A284" s="2">
        <v>44466</v>
      </c>
      <c r="B284" s="5">
        <v>30.212499999999999</v>
      </c>
      <c r="C284" s="5">
        <v>750.66250000000002</v>
      </c>
      <c r="D284" s="5">
        <v>21.375</v>
      </c>
      <c r="E284" s="5">
        <f>Таблица1[[#This Row],[pressure]]/760*101325</f>
        <v>100080.10238486843</v>
      </c>
      <c r="F284" s="7">
        <f>Таблица1[[#This Row],[humidity]]/100</f>
        <v>0.21375</v>
      </c>
      <c r="G284" s="5" cm="1">
        <f t="array" ref="G284">wet_bulb_temp(Таблица1[[#This Row],[temp]],Таблица1[[#This Row],[humidity_ratio]],Таблица1[[#This Row],[pressure_kpa]])</f>
        <v>16.090429873911827</v>
      </c>
      <c r="H284" s="5" cm="1">
        <f t="array" ref="H284">wet_bulb_temp_simple(Таблица1[[#This Row],[temp]],Таблица1[[#This Row],[humidity]])</f>
        <v>16.418809349472824</v>
      </c>
      <c r="I284" s="5">
        <f>IF(Таблица1[[#This Row],[wet_bulb_thermo]]+$F$1&lt;20,20,Таблица1[[#This Row],[wet_bulb_thermo]]+$F$1)</f>
        <v>26.090429873911827</v>
      </c>
      <c r="J284" s="9">
        <f>Таблица1[[#This Row],[Tcold]]+$I$1</f>
        <v>36.09042987391183</v>
      </c>
      <c r="K284" s="12" cm="1">
        <f t="array" ref="K284">evaporation(Таблица1[[#This Row],[Thot]],Таблица1[[#This Row],[Tcold]],Таблица1[[#This Row],[temp]],Таблица1[[#This Row],[humidity_ratio]],Таблица1[[#This Row],[pressure_kpa]])/$I$1</f>
        <v>1.5727516766483329E-3</v>
      </c>
      <c r="L284">
        <f>MONTH(Таблица1[[#This Row],[date]])</f>
        <v>9</v>
      </c>
      <c r="M284" t="str">
        <f>IF(AND(Таблица1[[#This Row],[month]]&gt;3, Таблица1[[#This Row],[month]]&lt;11),"SUMMER","WINTER")</f>
        <v>SUMMER</v>
      </c>
    </row>
    <row r="285" spans="1:13" x14ac:dyDescent="0.25">
      <c r="A285" s="2">
        <v>44467</v>
      </c>
      <c r="B285" s="5">
        <v>31.45</v>
      </c>
      <c r="C285" s="5">
        <v>751.45</v>
      </c>
      <c r="D285" s="5">
        <v>18.875</v>
      </c>
      <c r="E285" s="5">
        <f>Таблица1[[#This Row],[pressure]]/760*101325</f>
        <v>100185.09375</v>
      </c>
      <c r="F285" s="7">
        <f>Таблица1[[#This Row],[humidity]]/100</f>
        <v>0.18875</v>
      </c>
      <c r="G285" s="5" cm="1">
        <f t="array" ref="G285">wet_bulb_temp(Таблица1[[#This Row],[temp]],Таблица1[[#This Row],[humidity_ratio]],Таблица1[[#This Row],[pressure_kpa]])</f>
        <v>16.254412331871755</v>
      </c>
      <c r="H285" s="5" cm="1">
        <f t="array" ref="H285">wet_bulb_temp_simple(Таблица1[[#This Row],[temp]],Таблица1[[#This Row],[humidity]])</f>
        <v>16.559574188659735</v>
      </c>
      <c r="I285" s="5">
        <f>IF(Таблица1[[#This Row],[wet_bulb_thermo]]+$F$1&lt;20,20,Таблица1[[#This Row],[wet_bulb_thermo]]+$F$1)</f>
        <v>26.254412331871755</v>
      </c>
      <c r="J285" s="9">
        <f>Таблица1[[#This Row],[Tcold]]+$I$1</f>
        <v>36.254412331871755</v>
      </c>
      <c r="K285" s="12" cm="1">
        <f t="array" ref="K285">evaporation(Таблица1[[#This Row],[Thot]],Таблица1[[#This Row],[Tcold]],Таблица1[[#This Row],[temp]],Таблица1[[#This Row],[humidity_ratio]],Таблица1[[#This Row],[pressure_kpa]])/$I$1</f>
        <v>1.593546756316026E-3</v>
      </c>
      <c r="L285">
        <f>MONTH(Таблица1[[#This Row],[date]])</f>
        <v>9</v>
      </c>
      <c r="M285" t="str">
        <f>IF(AND(Таблица1[[#This Row],[month]]&gt;3, Таблица1[[#This Row],[month]]&lt;11),"SUMMER","WINTER")</f>
        <v>SUMMER</v>
      </c>
    </row>
    <row r="286" spans="1:13" x14ac:dyDescent="0.25">
      <c r="A286" s="2">
        <v>44468</v>
      </c>
      <c r="B286" s="5">
        <v>30.625</v>
      </c>
      <c r="C286" s="5">
        <v>751.3125</v>
      </c>
      <c r="D286" s="5">
        <v>22.75</v>
      </c>
      <c r="E286" s="5">
        <f>Таблица1[[#This Row],[pressure]]/760*101325</f>
        <v>100166.76192434211</v>
      </c>
      <c r="F286" s="7">
        <f>Таблица1[[#This Row],[humidity]]/100</f>
        <v>0.22750000000000001</v>
      </c>
      <c r="G286" s="5" cm="1">
        <f t="array" ref="G286">wet_bulb_temp(Таблица1[[#This Row],[temp]],Таблица1[[#This Row],[humidity_ratio]],Таблица1[[#This Row],[pressure_kpa]])</f>
        <v>16.678019184754834</v>
      </c>
      <c r="H286" s="5" cm="1">
        <f t="array" ref="H286">wet_bulb_temp_simple(Таблица1[[#This Row],[temp]],Таблица1[[#This Row],[humidity]])</f>
        <v>17.070821709456482</v>
      </c>
      <c r="I286" s="5">
        <f>IF(Таблица1[[#This Row],[wet_bulb_thermo]]+$F$1&lt;20,20,Таблица1[[#This Row],[wet_bulb_thermo]]+$F$1)</f>
        <v>26.678019184754834</v>
      </c>
      <c r="J286" s="9">
        <f>Таблица1[[#This Row],[Tcold]]+$I$1</f>
        <v>36.678019184754831</v>
      </c>
      <c r="K286" s="12" cm="1">
        <f t="array" ref="K286">evaporation(Таблица1[[#This Row],[Thot]],Таблица1[[#This Row],[Tcold]],Таблица1[[#This Row],[temp]],Таблица1[[#This Row],[humidity_ratio]],Таблица1[[#This Row],[pressure_kpa]])/$I$1</f>
        <v>1.5723999547274526E-3</v>
      </c>
      <c r="L286">
        <f>MONTH(Таблица1[[#This Row],[date]])</f>
        <v>9</v>
      </c>
      <c r="M286" t="str">
        <f>IF(AND(Таблица1[[#This Row],[month]]&gt;3, Таблица1[[#This Row],[month]]&lt;11),"SUMMER","WINTER")</f>
        <v>SUMMER</v>
      </c>
    </row>
    <row r="287" spans="1:13" x14ac:dyDescent="0.25">
      <c r="A287" s="2">
        <v>44469</v>
      </c>
      <c r="B287" s="5">
        <v>33.362499999999997</v>
      </c>
      <c r="C287" s="5">
        <v>751.7</v>
      </c>
      <c r="D287" s="5">
        <v>21.125</v>
      </c>
      <c r="E287" s="5">
        <f>Таблица1[[#This Row],[pressure]]/760*101325</f>
        <v>100218.42434210527</v>
      </c>
      <c r="F287" s="7">
        <f>Таблица1[[#This Row],[humidity]]/100</f>
        <v>0.21124999999999999</v>
      </c>
      <c r="G287" s="5" cm="1">
        <f t="array" ref="G287">wet_bulb_temp(Таблица1[[#This Row],[temp]],Таблица1[[#This Row],[humidity_ratio]],Таблица1[[#This Row],[pressure_kpa]])</f>
        <v>18.032405809457824</v>
      </c>
      <c r="H287" s="5" cm="1">
        <f t="array" ref="H287">wet_bulb_temp_simple(Таблица1[[#This Row],[temp]],Таблица1[[#This Row],[humidity]])</f>
        <v>18.524984221818396</v>
      </c>
      <c r="I287" s="5">
        <f>IF(Таблица1[[#This Row],[wet_bulb_thermo]]+$F$1&lt;20,20,Таблица1[[#This Row],[wet_bulb_thermo]]+$F$1)</f>
        <v>28.032405809457824</v>
      </c>
      <c r="J287" s="9">
        <f>Таблица1[[#This Row],[Tcold]]+$I$1</f>
        <v>38.032405809457828</v>
      </c>
      <c r="K287" s="12" cm="1">
        <f t="array" ref="K287">evaporation(Таблица1[[#This Row],[Thot]],Таблица1[[#This Row],[Tcold]],Таблица1[[#This Row],[temp]],Таблица1[[#This Row],[humidity_ratio]],Таблица1[[#This Row],[pressure_kpa]])/$I$1</f>
        <v>1.603148396635842E-3</v>
      </c>
      <c r="L287">
        <f>MONTH(Таблица1[[#This Row],[date]])</f>
        <v>9</v>
      </c>
      <c r="M287" t="str">
        <f>IF(AND(Таблица1[[#This Row],[month]]&gt;3, Таблица1[[#This Row],[month]]&lt;11),"SUMMER","WINTER")</f>
        <v>SUMMER</v>
      </c>
    </row>
    <row r="288" spans="1:13" x14ac:dyDescent="0.25">
      <c r="A288" s="2">
        <v>44470</v>
      </c>
      <c r="B288" s="5">
        <v>35.512500000000003</v>
      </c>
      <c r="C288" s="5">
        <v>751.61249999999995</v>
      </c>
      <c r="D288" s="5">
        <v>16</v>
      </c>
      <c r="E288" s="5">
        <f>Таблица1[[#This Row],[pressure]]/760*101325</f>
        <v>100206.75863486843</v>
      </c>
      <c r="F288" s="7">
        <f>Таблица1[[#This Row],[humidity]]/100</f>
        <v>0.16</v>
      </c>
      <c r="G288" s="5" cm="1">
        <f t="array" ref="G288">wet_bulb_temp(Таблица1[[#This Row],[temp]],Таблица1[[#This Row],[humidity_ratio]],Таблица1[[#This Row],[pressure_kpa]])</f>
        <v>17.920256255617264</v>
      </c>
      <c r="H288" s="5" cm="1">
        <f t="array" ref="H288">wet_bulb_temp_simple(Таблица1[[#This Row],[temp]],Таблица1[[#This Row],[humidity]])</f>
        <v>18.291315534293147</v>
      </c>
      <c r="I288" s="5">
        <f>IF(Таблица1[[#This Row],[wet_bulb_thermo]]+$F$1&lt;20,20,Таблица1[[#This Row],[wet_bulb_thermo]]+$F$1)</f>
        <v>27.920256255617264</v>
      </c>
      <c r="J288" s="9">
        <f>Таблица1[[#This Row],[Tcold]]+$I$1</f>
        <v>37.920256255617261</v>
      </c>
      <c r="K288" s="12" cm="1">
        <f t="array" ref="K288">evaporation(Таблица1[[#This Row],[Thot]],Таблица1[[#This Row],[Tcold]],Таблица1[[#This Row],[temp]],Таблица1[[#This Row],[humidity_ratio]],Таблица1[[#This Row],[pressure_kpa]])/$I$1</f>
        <v>1.6421475496476001E-3</v>
      </c>
      <c r="L288">
        <f>MONTH(Таблица1[[#This Row],[date]])</f>
        <v>10</v>
      </c>
      <c r="M288" t="str">
        <f>IF(AND(Таблица1[[#This Row],[month]]&gt;3, Таблица1[[#This Row],[month]]&lt;11),"SUMMER","WINTER")</f>
        <v>SUMMER</v>
      </c>
    </row>
    <row r="289" spans="1:13" x14ac:dyDescent="0.25">
      <c r="A289" s="2">
        <v>44471</v>
      </c>
      <c r="B289" s="5">
        <v>36.225000000000001</v>
      </c>
      <c r="C289" s="5">
        <v>750.65</v>
      </c>
      <c r="D289" s="5">
        <v>13.125</v>
      </c>
      <c r="E289" s="5">
        <f>Таблица1[[#This Row],[pressure]]/760*101325</f>
        <v>100078.43585526316</v>
      </c>
      <c r="F289" s="7">
        <f>Таблица1[[#This Row],[humidity]]/100</f>
        <v>0.13125000000000001</v>
      </c>
      <c r="G289" s="5" cm="1">
        <f t="array" ref="G289">wet_bulb_temp(Таблица1[[#This Row],[temp]],Таблица1[[#This Row],[humidity_ratio]],Таблица1[[#This Row],[pressure_kpa]])</f>
        <v>17.458205867222919</v>
      </c>
      <c r="H289" s="5" cm="1">
        <f t="array" ref="H289">wet_bulb_temp_simple(Таблица1[[#This Row],[temp]],Таблица1[[#This Row],[humidity]])</f>
        <v>17.648599522607171</v>
      </c>
      <c r="I289" s="5">
        <f>IF(Таблица1[[#This Row],[wet_bulb_thermo]]+$F$1&lt;20,20,Таблица1[[#This Row],[wet_bulb_thermo]]+$F$1)</f>
        <v>27.458205867222919</v>
      </c>
      <c r="J289" s="9">
        <f>Таблица1[[#This Row],[Tcold]]+$I$1</f>
        <v>37.458205867222915</v>
      </c>
      <c r="K289" s="12" cm="1">
        <f t="array" ref="K289">evaporation(Таблица1[[#This Row],[Thot]],Таблица1[[#This Row],[Tcold]],Таблица1[[#This Row],[temp]],Таблица1[[#This Row],[humidity_ratio]],Таблица1[[#This Row],[pressure_kpa]])/$I$1</f>
        <v>1.6620692992946376E-3</v>
      </c>
      <c r="L289">
        <f>MONTH(Таблица1[[#This Row],[date]])</f>
        <v>10</v>
      </c>
      <c r="M289" t="str">
        <f>IF(AND(Таблица1[[#This Row],[month]]&gt;3, Таблица1[[#This Row],[month]]&lt;11),"SUMMER","WINTER")</f>
        <v>SUMMER</v>
      </c>
    </row>
    <row r="290" spans="1:13" x14ac:dyDescent="0.25">
      <c r="A290" s="2">
        <v>44472</v>
      </c>
      <c r="B290" s="5">
        <v>33.862499999999997</v>
      </c>
      <c r="C290" s="5">
        <v>751.05</v>
      </c>
      <c r="D290" s="5">
        <v>17.875</v>
      </c>
      <c r="E290" s="5">
        <f>Таблица1[[#This Row],[pressure]]/760*101325</f>
        <v>100131.76480263157</v>
      </c>
      <c r="F290" s="7">
        <f>Таблица1[[#This Row],[humidity]]/100</f>
        <v>0.17874999999999999</v>
      </c>
      <c r="G290" s="5" cm="1">
        <f t="array" ref="G290">wet_bulb_temp(Таблица1[[#This Row],[temp]],Таблица1[[#This Row],[humidity_ratio]],Таблица1[[#This Row],[pressure_kpa]])</f>
        <v>17.47275609475421</v>
      </c>
      <c r="H290" s="5" cm="1">
        <f t="array" ref="H290">wet_bulb_temp_simple(Таблица1[[#This Row],[temp]],Таблица1[[#This Row],[humidity]])</f>
        <v>17.856037531198737</v>
      </c>
      <c r="I290" s="5">
        <f>IF(Таблица1[[#This Row],[wet_bulb_thermo]]+$F$1&lt;20,20,Таблица1[[#This Row],[wet_bulb_thermo]]+$F$1)</f>
        <v>27.47275609475421</v>
      </c>
      <c r="J290" s="9">
        <f>Таблица1[[#This Row],[Tcold]]+$I$1</f>
        <v>37.47275609475421</v>
      </c>
      <c r="K290" s="12" cm="1">
        <f t="array" ref="K290">evaporation(Таблица1[[#This Row],[Thot]],Таблица1[[#This Row],[Tcold]],Таблица1[[#This Row],[temp]],Таблица1[[#This Row],[humidity_ratio]],Таблица1[[#This Row],[pressure_kpa]])/$I$1</f>
        <v>1.6198468020053476E-3</v>
      </c>
      <c r="L290">
        <f>MONTH(Таблица1[[#This Row],[date]])</f>
        <v>10</v>
      </c>
      <c r="M290" t="str">
        <f>IF(AND(Таблица1[[#This Row],[month]]&gt;3, Таблица1[[#This Row],[month]]&lt;11),"SUMMER","WINTER")</f>
        <v>SUMMER</v>
      </c>
    </row>
    <row r="291" spans="1:13" x14ac:dyDescent="0.25">
      <c r="A291" s="2">
        <v>44473</v>
      </c>
      <c r="B291" s="5">
        <v>33.15</v>
      </c>
      <c r="C291" s="5">
        <v>752.53750000000002</v>
      </c>
      <c r="D291" s="5">
        <v>40.25</v>
      </c>
      <c r="E291" s="5">
        <f>Таблица1[[#This Row],[pressure]]/760*101325</f>
        <v>100330.08182565789</v>
      </c>
      <c r="F291" s="7">
        <f>Таблица1[[#This Row],[humidity]]/100</f>
        <v>0.40250000000000002</v>
      </c>
      <c r="G291" s="5" cm="1">
        <f t="array" ref="G291">wet_bulb_temp(Таблица1[[#This Row],[temp]],Таблица1[[#This Row],[humidity_ratio]],Таблица1[[#This Row],[pressure_kpa]])</f>
        <v>22.493373686594101</v>
      </c>
      <c r="H291" s="5" cm="1">
        <f t="array" ref="H291">wet_bulb_temp_simple(Таблица1[[#This Row],[temp]],Таблица1[[#This Row],[humidity]])</f>
        <v>23.06277169658981</v>
      </c>
      <c r="I291" s="5">
        <f>IF(Таблица1[[#This Row],[wet_bulb_thermo]]+$F$1&lt;20,20,Таблица1[[#This Row],[wet_bulb_thermo]]+$F$1)</f>
        <v>32.493373686594097</v>
      </c>
      <c r="J291" s="9">
        <f>Таблица1[[#This Row],[Tcold]]+$I$1</f>
        <v>42.493373686594097</v>
      </c>
      <c r="K291" s="12" cm="1">
        <f t="array" ref="K291">evaporation(Таблица1[[#This Row],[Thot]],Таблица1[[#This Row],[Tcold]],Таблица1[[#This Row],[temp]],Таблица1[[#This Row],[humidity_ratio]],Таблица1[[#This Row],[pressure_kpa]])/$I$1</f>
        <v>1.5528590154996358E-3</v>
      </c>
      <c r="L291">
        <f>MONTH(Таблица1[[#This Row],[date]])</f>
        <v>10</v>
      </c>
      <c r="M291" t="str">
        <f>IF(AND(Таблица1[[#This Row],[month]]&gt;3, Таблица1[[#This Row],[month]]&lt;11),"SUMMER","WINTER")</f>
        <v>SUMMER</v>
      </c>
    </row>
    <row r="292" spans="1:13" x14ac:dyDescent="0.25">
      <c r="A292" s="2">
        <v>44474</v>
      </c>
      <c r="B292" s="5">
        <v>32.075000000000003</v>
      </c>
      <c r="C292" s="5">
        <v>753.36249999999995</v>
      </c>
      <c r="D292" s="5">
        <v>20.5</v>
      </c>
      <c r="E292" s="5">
        <f>Таблица1[[#This Row],[pressure]]/760*101325</f>
        <v>100440.07277960525</v>
      </c>
      <c r="F292" s="7">
        <f>Таблица1[[#This Row],[humidity]]/100</f>
        <v>0.20499999999999999</v>
      </c>
      <c r="G292" s="5" cm="1">
        <f t="array" ref="G292">wet_bulb_temp(Таблица1[[#This Row],[temp]],Таблица1[[#This Row],[humidity_ratio]],Таблица1[[#This Row],[pressure_kpa]])</f>
        <v>17.042632710625938</v>
      </c>
      <c r="H292" s="5" cm="1">
        <f t="array" ref="H292">wet_bulb_temp_simple(Таблица1[[#This Row],[temp]],Таблица1[[#This Row],[humidity]])</f>
        <v>17.457595485767648</v>
      </c>
      <c r="I292" s="5">
        <f>IF(Таблица1[[#This Row],[wet_bulb_thermo]]+$F$1&lt;20,20,Таблица1[[#This Row],[wet_bulb_thermo]]+$F$1)</f>
        <v>27.042632710625938</v>
      </c>
      <c r="J292" s="9">
        <f>Таблица1[[#This Row],[Tcold]]+$I$1</f>
        <v>37.042632710625938</v>
      </c>
      <c r="K292" s="12" cm="1">
        <f t="array" ref="K292">evaporation(Таблица1[[#This Row],[Thot]],Таблица1[[#This Row],[Tcold]],Таблица1[[#This Row],[temp]],Таблица1[[#This Row],[humidity_ratio]],Таблица1[[#This Row],[pressure_kpa]])/$I$1</f>
        <v>1.5936091892365203E-3</v>
      </c>
      <c r="L292">
        <f>MONTH(Таблица1[[#This Row],[date]])</f>
        <v>10</v>
      </c>
      <c r="M292" t="str">
        <f>IF(AND(Таблица1[[#This Row],[month]]&gt;3, Таблица1[[#This Row],[month]]&lt;11),"SUMMER","WINTER")</f>
        <v>SUMMER</v>
      </c>
    </row>
    <row r="293" spans="1:13" x14ac:dyDescent="0.25">
      <c r="A293" s="2">
        <v>44475</v>
      </c>
      <c r="B293" s="5">
        <v>31.574999999999999</v>
      </c>
      <c r="C293" s="5">
        <v>753.32500000000005</v>
      </c>
      <c r="D293" s="5">
        <v>19.125</v>
      </c>
      <c r="E293" s="5">
        <f>Таблица1[[#This Row],[pressure]]/760*101325</f>
        <v>100435.07319078948</v>
      </c>
      <c r="F293" s="7">
        <f>Таблица1[[#This Row],[humidity]]/100</f>
        <v>0.19125</v>
      </c>
      <c r="G293" s="5" cm="1">
        <f t="array" ref="G293">wet_bulb_temp(Таблица1[[#This Row],[temp]],Таблица1[[#This Row],[humidity_ratio]],Таблица1[[#This Row],[pressure_kpa]])</f>
        <v>16.382844328208328</v>
      </c>
      <c r="H293" s="5" cm="1">
        <f t="array" ref="H293">wet_bulb_temp_simple(Таблица1[[#This Row],[temp]],Таблица1[[#This Row],[humidity]])</f>
        <v>16.717252533528271</v>
      </c>
      <c r="I293" s="5">
        <f>IF(Таблица1[[#This Row],[wet_bulb_thermo]]+$F$1&lt;20,20,Таблица1[[#This Row],[wet_bulb_thermo]]+$F$1)</f>
        <v>26.382844328208328</v>
      </c>
      <c r="J293" s="9">
        <f>Таблица1[[#This Row],[Tcold]]+$I$1</f>
        <v>36.382844328208328</v>
      </c>
      <c r="K293" s="12" cm="1">
        <f t="array" ref="K293">evaporation(Таблица1[[#This Row],[Thot]],Таблица1[[#This Row],[Tcold]],Таблица1[[#This Row],[temp]],Таблица1[[#This Row],[humidity_ratio]],Таблица1[[#This Row],[pressure_kpa]])/$I$1</f>
        <v>1.5937622369603711E-3</v>
      </c>
      <c r="L293">
        <f>MONTH(Таблица1[[#This Row],[date]])</f>
        <v>10</v>
      </c>
      <c r="M293" t="str">
        <f>IF(AND(Таблица1[[#This Row],[month]]&gt;3, Таблица1[[#This Row],[month]]&lt;11),"SUMMER","WINTER")</f>
        <v>SUMMER</v>
      </c>
    </row>
    <row r="294" spans="1:13" x14ac:dyDescent="0.25">
      <c r="A294" s="2">
        <v>44476</v>
      </c>
      <c r="B294" s="5">
        <v>32.487499999999997</v>
      </c>
      <c r="C294" s="5">
        <v>753.76250000000005</v>
      </c>
      <c r="D294" s="5">
        <v>28</v>
      </c>
      <c r="E294" s="5">
        <f>Таблица1[[#This Row],[pressure]]/760*101325</f>
        <v>100493.40172697369</v>
      </c>
      <c r="F294" s="7">
        <f>Таблица1[[#This Row],[humidity]]/100</f>
        <v>0.28000000000000003</v>
      </c>
      <c r="G294" s="5" cm="1">
        <f t="array" ref="G294">wet_bulb_temp(Таблица1[[#This Row],[temp]],Таблица1[[#This Row],[humidity_ratio]],Таблица1[[#This Row],[pressure_kpa]])</f>
        <v>19.163245207708041</v>
      </c>
      <c r="H294" s="5" cm="1">
        <f t="array" ref="H294">wet_bulb_temp_simple(Таблица1[[#This Row],[temp]],Таблица1[[#This Row],[humidity]])</f>
        <v>19.757887077438529</v>
      </c>
      <c r="I294" s="5">
        <f>IF(Таблица1[[#This Row],[wet_bulb_thermo]]+$F$1&lt;20,20,Таблица1[[#This Row],[wet_bulb_thermo]]+$F$1)</f>
        <v>29.163245207708041</v>
      </c>
      <c r="J294" s="9">
        <f>Таблица1[[#This Row],[Tcold]]+$I$1</f>
        <v>39.163245207708044</v>
      </c>
      <c r="K294" s="12" cm="1">
        <f t="array" ref="K294">evaporation(Таблица1[[#This Row],[Thot]],Таблица1[[#This Row],[Tcold]],Таблица1[[#This Row],[temp]],Таблица1[[#This Row],[humidity_ratio]],Таблица1[[#This Row],[pressure_kpa]])/$I$1</f>
        <v>1.5740322604581801E-3</v>
      </c>
      <c r="L294">
        <f>MONTH(Таблица1[[#This Row],[date]])</f>
        <v>10</v>
      </c>
      <c r="M294" t="str">
        <f>IF(AND(Таблица1[[#This Row],[month]]&gt;3, Таблица1[[#This Row],[month]]&lt;11),"SUMMER","WINTER")</f>
        <v>SUMMER</v>
      </c>
    </row>
    <row r="295" spans="1:13" x14ac:dyDescent="0.25">
      <c r="A295" s="2">
        <v>44477</v>
      </c>
      <c r="B295" s="5">
        <v>30.962499999999999</v>
      </c>
      <c r="C295" s="5">
        <v>754.8125</v>
      </c>
      <c r="D295" s="5">
        <v>16.875</v>
      </c>
      <c r="E295" s="5">
        <f>Таблица1[[#This Row],[pressure]]/760*101325</f>
        <v>100633.39021381579</v>
      </c>
      <c r="F295" s="7">
        <f>Таблица1[[#This Row],[humidity]]/100</f>
        <v>0.16875000000000001</v>
      </c>
      <c r="G295" s="5" cm="1">
        <f t="array" ref="G295">wet_bulb_temp(Таблица1[[#This Row],[temp]],Таблица1[[#This Row],[humidity_ratio]],Таблица1[[#This Row],[pressure_kpa]])</f>
        <v>15.434704174208422</v>
      </c>
      <c r="H295" s="5" cm="1">
        <f t="array" ref="H295">wet_bulb_temp_simple(Таблица1[[#This Row],[temp]],Таблица1[[#This Row],[humidity]])</f>
        <v>15.635182216259947</v>
      </c>
      <c r="I295" s="5">
        <f>IF(Таблица1[[#This Row],[wet_bulb_thermo]]+$F$1&lt;20,20,Таблица1[[#This Row],[wet_bulb_thermo]]+$F$1)</f>
        <v>25.43470417420842</v>
      </c>
      <c r="J295" s="9">
        <f>Таблица1[[#This Row],[Tcold]]+$I$1</f>
        <v>35.43470417420842</v>
      </c>
      <c r="K295" s="12" cm="1">
        <f t="array" ref="K295">evaporation(Таблица1[[#This Row],[Thot]],Таблица1[[#This Row],[Tcold]],Таблица1[[#This Row],[temp]],Таблица1[[#This Row],[humidity_ratio]],Таблица1[[#This Row],[pressure_kpa]])/$I$1</f>
        <v>1.5960406762105504E-3</v>
      </c>
      <c r="L295">
        <f>MONTH(Таблица1[[#This Row],[date]])</f>
        <v>10</v>
      </c>
      <c r="M295" t="str">
        <f>IF(AND(Таблица1[[#This Row],[month]]&gt;3, Таблица1[[#This Row],[month]]&lt;11),"SUMMER","WINTER")</f>
        <v>SUMMER</v>
      </c>
    </row>
    <row r="296" spans="1:13" x14ac:dyDescent="0.25">
      <c r="A296" s="2">
        <v>44478</v>
      </c>
      <c r="B296" s="5">
        <v>30.75</v>
      </c>
      <c r="C296" s="5">
        <v>754.9</v>
      </c>
      <c r="D296" s="5">
        <v>12.75</v>
      </c>
      <c r="E296" s="5">
        <f>Таблица1[[#This Row],[pressure]]/760*101325</f>
        <v>100645.05592105263</v>
      </c>
      <c r="F296" s="7">
        <f>Таблица1[[#This Row],[humidity]]/100</f>
        <v>0.1275</v>
      </c>
      <c r="G296" s="5" cm="1">
        <f t="array" ref="G296">wet_bulb_temp(Таблица1[[#This Row],[temp]],Таблица1[[#This Row],[humidity_ratio]],Таблица1[[#This Row],[pressure_kpa]])</f>
        <v>14.262484382953591</v>
      </c>
      <c r="H296" s="5" cm="1">
        <f t="array" ref="H296">wet_bulb_temp_simple(Таблица1[[#This Row],[temp]],Таблица1[[#This Row],[humidity]])</f>
        <v>14.160325943091264</v>
      </c>
      <c r="I296" s="5">
        <f>IF(Таблица1[[#This Row],[wet_bulb_thermo]]+$F$1&lt;20,20,Таблица1[[#This Row],[wet_bulb_thermo]]+$F$1)</f>
        <v>24.262484382953591</v>
      </c>
      <c r="J296" s="9">
        <f>Таблица1[[#This Row],[Tcold]]+$I$1</f>
        <v>34.262484382953588</v>
      </c>
      <c r="K296" s="12" cm="1">
        <f t="array" ref="K296">evaporation(Таблица1[[#This Row],[Thot]],Таблица1[[#This Row],[Tcold]],Таблица1[[#This Row],[temp]],Таблица1[[#This Row],[humidity_ratio]],Таблица1[[#This Row],[pressure_kpa]])/$I$1</f>
        <v>1.6108551169973298E-3</v>
      </c>
      <c r="L296">
        <f>MONTH(Таблица1[[#This Row],[date]])</f>
        <v>10</v>
      </c>
      <c r="M296" t="str">
        <f>IF(AND(Таблица1[[#This Row],[month]]&gt;3, Таблица1[[#This Row],[month]]&lt;11),"SUMMER","WINTER")</f>
        <v>SUMMER</v>
      </c>
    </row>
    <row r="297" spans="1:13" x14ac:dyDescent="0.25">
      <c r="A297" s="2">
        <v>44479</v>
      </c>
      <c r="B297" s="5">
        <v>28.5625</v>
      </c>
      <c r="C297" s="5">
        <v>754.53750000000002</v>
      </c>
      <c r="D297" s="5">
        <v>16.75</v>
      </c>
      <c r="E297" s="5">
        <f>Таблица1[[#This Row],[pressure]]/760*101325</f>
        <v>100596.7265625</v>
      </c>
      <c r="F297" s="7">
        <f>Таблица1[[#This Row],[humidity]]/100</f>
        <v>0.16750000000000001</v>
      </c>
      <c r="G297" s="5" cm="1">
        <f t="array" ref="G297">wet_bulb_temp(Таблица1[[#This Row],[temp]],Таблица1[[#This Row],[humidity_ratio]],Таблица1[[#This Row],[pressure_kpa]])</f>
        <v>13.961588712434287</v>
      </c>
      <c r="H297" s="5" cm="1">
        <f t="array" ref="H297">wet_bulb_temp_simple(Таблица1[[#This Row],[temp]],Таблица1[[#This Row],[humidity]])</f>
        <v>14.034656650855839</v>
      </c>
      <c r="I297" s="5">
        <f>IF(Таблица1[[#This Row],[wet_bulb_thermo]]+$F$1&lt;20,20,Таблица1[[#This Row],[wet_bulb_thermo]]+$F$1)</f>
        <v>23.961588712434285</v>
      </c>
      <c r="J297" s="9">
        <f>Таблица1[[#This Row],[Tcold]]+$I$1</f>
        <v>33.961588712434285</v>
      </c>
      <c r="K297" s="12" cm="1">
        <f t="array" ref="K297">evaporation(Таблица1[[#This Row],[Thot]],Таблица1[[#This Row],[Tcold]],Таблица1[[#This Row],[temp]],Таблица1[[#This Row],[humidity_ratio]],Таблица1[[#This Row],[pressure_kpa]])/$I$1</f>
        <v>1.5707470303744566E-3</v>
      </c>
      <c r="L297">
        <f>MONTH(Таблица1[[#This Row],[date]])</f>
        <v>10</v>
      </c>
      <c r="M297" t="str">
        <f>IF(AND(Таблица1[[#This Row],[month]]&gt;3, Таблица1[[#This Row],[month]]&lt;11),"SUMMER","WINTER")</f>
        <v>SUMMER</v>
      </c>
    </row>
    <row r="298" spans="1:13" x14ac:dyDescent="0.25">
      <c r="A298" s="2">
        <v>44480</v>
      </c>
      <c r="B298" s="5">
        <v>27.25</v>
      </c>
      <c r="C298" s="5">
        <v>753.83749999999998</v>
      </c>
      <c r="D298" s="5">
        <v>22.75</v>
      </c>
      <c r="E298" s="5">
        <f>Таблица1[[#This Row],[pressure]]/760*101325</f>
        <v>100503.40090460527</v>
      </c>
      <c r="F298" s="7">
        <f>Таблица1[[#This Row],[humidity]]/100</f>
        <v>0.22750000000000001</v>
      </c>
      <c r="G298" s="5" cm="1">
        <f t="array" ref="G298">wet_bulb_temp(Таблица1[[#This Row],[temp]],Таблица1[[#This Row],[humidity_ratio]],Таблица1[[#This Row],[pressure_kpa]])</f>
        <v>14.460462357503539</v>
      </c>
      <c r="H298" s="5" cm="1">
        <f t="array" ref="H298">wet_bulb_temp_simple(Таблица1[[#This Row],[temp]],Таблица1[[#This Row],[humidity]])</f>
        <v>14.697697298945142</v>
      </c>
      <c r="I298" s="5">
        <f>IF(Таблица1[[#This Row],[wet_bulb_thermo]]+$F$1&lt;20,20,Таблица1[[#This Row],[wet_bulb_thermo]]+$F$1)</f>
        <v>24.460462357503538</v>
      </c>
      <c r="J298" s="9">
        <f>Таблица1[[#This Row],[Tcold]]+$I$1</f>
        <v>34.460462357503538</v>
      </c>
      <c r="K298" s="12" cm="1">
        <f t="array" ref="K298">evaporation(Таблица1[[#This Row],[Thot]],Таблица1[[#This Row],[Tcold]],Таблица1[[#This Row],[temp]],Таблица1[[#This Row],[humidity_ratio]],Таблица1[[#This Row],[pressure_kpa]])/$I$1</f>
        <v>1.5366385961047438E-3</v>
      </c>
      <c r="L298">
        <f>MONTH(Таблица1[[#This Row],[date]])</f>
        <v>10</v>
      </c>
      <c r="M298" t="str">
        <f>IF(AND(Таблица1[[#This Row],[month]]&gt;3, Таблица1[[#This Row],[month]]&lt;11),"SUMMER","WINTER")</f>
        <v>SUMMER</v>
      </c>
    </row>
    <row r="299" spans="1:13" x14ac:dyDescent="0.25">
      <c r="A299" s="2">
        <v>44481</v>
      </c>
      <c r="B299" s="5">
        <v>26.875</v>
      </c>
      <c r="C299" s="5">
        <v>754.27499999999998</v>
      </c>
      <c r="D299" s="5">
        <v>27.25</v>
      </c>
      <c r="E299" s="5">
        <f>Таблица1[[#This Row],[pressure]]/760*101325</f>
        <v>100561.72944078947</v>
      </c>
      <c r="F299" s="7">
        <f>Таблица1[[#This Row],[humidity]]/100</f>
        <v>0.27250000000000002</v>
      </c>
      <c r="G299" s="5" cm="1">
        <f t="array" ref="G299">wet_bulb_temp(Таблица1[[#This Row],[temp]],Таблица1[[#This Row],[humidity_ratio]],Таблица1[[#This Row],[pressure_kpa]])</f>
        <v>15.132250310043746</v>
      </c>
      <c r="H299" s="5" cm="1">
        <f t="array" ref="H299">wet_bulb_temp_simple(Таблица1[[#This Row],[temp]],Таблица1[[#This Row],[humidity]])</f>
        <v>15.435667288073315</v>
      </c>
      <c r="I299" s="5">
        <f>IF(Таблица1[[#This Row],[wet_bulb_thermo]]+$F$1&lt;20,20,Таблица1[[#This Row],[wet_bulb_thermo]]+$F$1)</f>
        <v>25.132250310043744</v>
      </c>
      <c r="J299" s="9">
        <f>Таблица1[[#This Row],[Tcold]]+$I$1</f>
        <v>35.132250310043744</v>
      </c>
      <c r="K299" s="12" cm="1">
        <f t="array" ref="K299">evaporation(Таблица1[[#This Row],[Thot]],Таблица1[[#This Row],[Tcold]],Таблица1[[#This Row],[temp]],Таблица1[[#This Row],[humidity_ratio]],Таблица1[[#This Row],[pressure_kpa]])/$I$1</f>
        <v>1.5202523881848067E-3</v>
      </c>
      <c r="L299">
        <f>MONTH(Таблица1[[#This Row],[date]])</f>
        <v>10</v>
      </c>
      <c r="M299" t="str">
        <f>IF(AND(Таблица1[[#This Row],[month]]&gt;3, Таблица1[[#This Row],[month]]&lt;11),"SUMMER","WINTER")</f>
        <v>SUMMER</v>
      </c>
    </row>
    <row r="300" spans="1:13" x14ac:dyDescent="0.25">
      <c r="A300" s="2">
        <v>44482</v>
      </c>
      <c r="B300" s="5">
        <v>27.875</v>
      </c>
      <c r="C300" s="5">
        <v>755.96249999999998</v>
      </c>
      <c r="D300" s="5">
        <v>37.375</v>
      </c>
      <c r="E300" s="5">
        <f>Таблица1[[#This Row],[pressure]]/760*101325</f>
        <v>100786.7109375</v>
      </c>
      <c r="F300" s="7">
        <f>Таблица1[[#This Row],[humidity]]/100</f>
        <v>0.37375000000000003</v>
      </c>
      <c r="G300" s="5" cm="1">
        <f t="array" ref="G300">wet_bulb_temp(Таблица1[[#This Row],[temp]],Таблица1[[#This Row],[humidity_ratio]],Таблица1[[#This Row],[pressure_kpa]])</f>
        <v>17.838917479179059</v>
      </c>
      <c r="H300" s="5" cm="1">
        <f t="array" ref="H300">wet_bulb_temp_simple(Таблица1[[#This Row],[temp]],Таблица1[[#This Row],[humidity]])</f>
        <v>18.232145224703711</v>
      </c>
      <c r="I300" s="5">
        <f>IF(Таблица1[[#This Row],[wet_bulb_thermo]]+$F$1&lt;20,20,Таблица1[[#This Row],[wet_bulb_thermo]]+$F$1)</f>
        <v>27.838917479179059</v>
      </c>
      <c r="J300" s="9">
        <f>Таблица1[[#This Row],[Tcold]]+$I$1</f>
        <v>37.838917479179059</v>
      </c>
      <c r="K300" s="12" cm="1">
        <f t="array" ref="K300">evaporation(Таблица1[[#This Row],[Thot]],Таблица1[[#This Row],[Tcold]],Таблица1[[#This Row],[temp]],Таблица1[[#This Row],[humidity_ratio]],Таблица1[[#This Row],[pressure_kpa]])/$I$1</f>
        <v>1.5087390872514388E-3</v>
      </c>
      <c r="L300">
        <f>MONTH(Таблица1[[#This Row],[date]])</f>
        <v>10</v>
      </c>
      <c r="M300" t="str">
        <f>IF(AND(Таблица1[[#This Row],[month]]&gt;3, Таблица1[[#This Row],[month]]&lt;11),"SUMMER","WINTER")</f>
        <v>SUMMER</v>
      </c>
    </row>
    <row r="301" spans="1:13" x14ac:dyDescent="0.25">
      <c r="A301" s="2">
        <v>44483</v>
      </c>
      <c r="B301" s="5">
        <v>30</v>
      </c>
      <c r="C301" s="5">
        <v>756.72500000000002</v>
      </c>
      <c r="D301" s="5">
        <v>27.375</v>
      </c>
      <c r="E301" s="5">
        <f>Таблица1[[#This Row],[pressure]]/760*101325</f>
        <v>100888.36924342105</v>
      </c>
      <c r="F301" s="7">
        <f>Таблица1[[#This Row],[humidity]]/100</f>
        <v>0.27374999999999999</v>
      </c>
      <c r="G301" s="5" cm="1">
        <f t="array" ref="G301">wet_bulb_temp(Таблица1[[#This Row],[temp]],Таблица1[[#This Row],[humidity_ratio]],Таблица1[[#This Row],[pressure_kpa]])</f>
        <v>17.281734193977151</v>
      </c>
      <c r="H301" s="5" cm="1">
        <f t="array" ref="H301">wet_bulb_temp_simple(Таблица1[[#This Row],[temp]],Таблица1[[#This Row],[humidity]])</f>
        <v>17.766953236090888</v>
      </c>
      <c r="I301" s="5">
        <f>IF(Таблица1[[#This Row],[wet_bulb_thermo]]+$F$1&lt;20,20,Таблица1[[#This Row],[wet_bulb_thermo]]+$F$1)</f>
        <v>27.281734193977151</v>
      </c>
      <c r="J301" s="9">
        <f>Таблица1[[#This Row],[Tcold]]+$I$1</f>
        <v>37.281734193977151</v>
      </c>
      <c r="K301" s="12" cm="1">
        <f t="array" ref="K301">evaporation(Таблица1[[#This Row],[Thot]],Таблица1[[#This Row],[Tcold]],Таблица1[[#This Row],[temp]],Таблица1[[#This Row],[humidity_ratio]],Таблица1[[#This Row],[pressure_kpa]])/$I$1</f>
        <v>1.5523853821706539E-3</v>
      </c>
      <c r="L301">
        <f>MONTH(Таблица1[[#This Row],[date]])</f>
        <v>10</v>
      </c>
      <c r="M301" t="str">
        <f>IF(AND(Таблица1[[#This Row],[month]]&gt;3, Таблица1[[#This Row],[month]]&lt;11),"SUMMER","WINTER")</f>
        <v>SUMMER</v>
      </c>
    </row>
    <row r="302" spans="1:13" x14ac:dyDescent="0.25">
      <c r="A302" s="2">
        <v>44484</v>
      </c>
      <c r="B302" s="5">
        <v>32.112499999999997</v>
      </c>
      <c r="C302" s="5">
        <v>754.9375</v>
      </c>
      <c r="D302" s="5">
        <v>25</v>
      </c>
      <c r="E302" s="5">
        <f>Таблица1[[#This Row],[pressure]]/760*101325</f>
        <v>100650.05550986843</v>
      </c>
      <c r="F302" s="7">
        <f>Таблица1[[#This Row],[humidity]]/100</f>
        <v>0.25</v>
      </c>
      <c r="G302" s="5" cm="1">
        <f t="array" ref="G302">wet_bulb_temp(Таблица1[[#This Row],[temp]],Таблица1[[#This Row],[humidity_ratio]],Таблица1[[#This Row],[pressure_kpa]])</f>
        <v>18.17229488410343</v>
      </c>
      <c r="H302" s="5" cm="1">
        <f t="array" ref="H302">wet_bulb_temp_simple(Таблица1[[#This Row],[temp]],Таблица1[[#This Row],[humidity]])</f>
        <v>18.718873764535587</v>
      </c>
      <c r="I302" s="5">
        <f>IF(Таблица1[[#This Row],[wet_bulb_thermo]]+$F$1&lt;20,20,Таблица1[[#This Row],[wet_bulb_thermo]]+$F$1)</f>
        <v>28.17229488410343</v>
      </c>
      <c r="J302" s="9">
        <f>Таблица1[[#This Row],[Tcold]]+$I$1</f>
        <v>38.17229488410343</v>
      </c>
      <c r="K302" s="12" cm="1">
        <f t="array" ref="K302">evaporation(Таблица1[[#This Row],[Thot]],Таблица1[[#This Row],[Tcold]],Таблица1[[#This Row],[temp]],Таблица1[[#This Row],[humidity_ratio]],Таблица1[[#This Row],[pressure_kpa]])/$I$1</f>
        <v>1.5792051854604614E-3</v>
      </c>
      <c r="L302">
        <f>MONTH(Таблица1[[#This Row],[date]])</f>
        <v>10</v>
      </c>
      <c r="M302" t="str">
        <f>IF(AND(Таблица1[[#This Row],[month]]&gt;3, Таблица1[[#This Row],[month]]&lt;11),"SUMMER","WINTER")</f>
        <v>SUMMER</v>
      </c>
    </row>
    <row r="303" spans="1:13" x14ac:dyDescent="0.25">
      <c r="A303" s="2">
        <v>44485</v>
      </c>
      <c r="B303" s="5">
        <v>34.0625</v>
      </c>
      <c r="C303" s="5">
        <v>752.45</v>
      </c>
      <c r="D303" s="5">
        <v>20.125</v>
      </c>
      <c r="E303" s="5">
        <f>Таблица1[[#This Row],[pressure]]/760*101325</f>
        <v>100318.41611842105</v>
      </c>
      <c r="F303" s="7">
        <f>Таблица1[[#This Row],[humidity]]/100</f>
        <v>0.20125000000000001</v>
      </c>
      <c r="G303" s="5" cm="1">
        <f t="array" ref="G303">wet_bulb_temp(Таблица1[[#This Row],[temp]],Таблица1[[#This Row],[humidity_ratio]],Таблица1[[#This Row],[pressure_kpa]])</f>
        <v>18.202357622202705</v>
      </c>
      <c r="H303" s="5" cm="1">
        <f t="array" ref="H303">wet_bulb_temp_simple(Таблица1[[#This Row],[temp]],Таблица1[[#This Row],[humidity]])</f>
        <v>18.703156615441337</v>
      </c>
      <c r="I303" s="5">
        <f>IF(Таблица1[[#This Row],[wet_bulb_thermo]]+$F$1&lt;20,20,Таблица1[[#This Row],[wet_bulb_thermo]]+$F$1)</f>
        <v>28.202357622202705</v>
      </c>
      <c r="J303" s="9">
        <f>Таблица1[[#This Row],[Tcold]]+$I$1</f>
        <v>38.202357622202705</v>
      </c>
      <c r="K303" s="12" cm="1">
        <f t="array" ref="K303">evaporation(Таблица1[[#This Row],[Thot]],Таблица1[[#This Row],[Tcold]],Таблица1[[#This Row],[temp]],Таблица1[[#This Row],[humidity_ratio]],Таблица1[[#This Row],[pressure_kpa]])/$I$1</f>
        <v>1.6128447379555005E-3</v>
      </c>
      <c r="L303">
        <f>MONTH(Таблица1[[#This Row],[date]])</f>
        <v>10</v>
      </c>
      <c r="M303" t="str">
        <f>IF(AND(Таблица1[[#This Row],[month]]&gt;3, Таблица1[[#This Row],[month]]&lt;11),"SUMMER","WINTER")</f>
        <v>SUMMER</v>
      </c>
    </row>
    <row r="304" spans="1:13" x14ac:dyDescent="0.25">
      <c r="A304" s="2">
        <v>44486</v>
      </c>
      <c r="B304" s="5">
        <v>33.137500000000003</v>
      </c>
      <c r="C304" s="5">
        <v>753.08749999999998</v>
      </c>
      <c r="D304" s="5">
        <v>21.125</v>
      </c>
      <c r="E304" s="5">
        <f>Таблица1[[#This Row],[pressure]]/760*101325</f>
        <v>100403.40912828947</v>
      </c>
      <c r="F304" s="7">
        <f>Таблица1[[#This Row],[humidity]]/100</f>
        <v>0.21124999999999999</v>
      </c>
      <c r="G304" s="5" cm="1">
        <f t="array" ref="G304">wet_bulb_temp(Таблица1[[#This Row],[temp]],Таблица1[[#This Row],[humidity_ratio]],Таблица1[[#This Row],[pressure_kpa]])</f>
        <v>17.878922879965547</v>
      </c>
      <c r="H304" s="5" cm="1">
        <f t="array" ref="H304">wet_bulb_temp_simple(Таблица1[[#This Row],[temp]],Таблица1[[#This Row],[humidity]])</f>
        <v>18.369758339922903</v>
      </c>
      <c r="I304" s="5">
        <f>IF(Таблица1[[#This Row],[wet_bulb_thermo]]+$F$1&lt;20,20,Таблица1[[#This Row],[wet_bulb_thermo]]+$F$1)</f>
        <v>27.878922879965547</v>
      </c>
      <c r="J304" s="9">
        <f>Таблица1[[#This Row],[Tcold]]+$I$1</f>
        <v>37.878922879965543</v>
      </c>
      <c r="K304" s="12" cm="1">
        <f t="array" ref="K304">evaporation(Таблица1[[#This Row],[Thot]],Таблица1[[#This Row],[Tcold]],Таблица1[[#This Row],[temp]],Таблица1[[#This Row],[humidity_ratio]],Таблица1[[#This Row],[pressure_kpa]])/$I$1</f>
        <v>1.6011171602456603E-3</v>
      </c>
      <c r="L304">
        <f>MONTH(Таблица1[[#This Row],[date]])</f>
        <v>10</v>
      </c>
      <c r="M304" t="str">
        <f>IF(AND(Таблица1[[#This Row],[month]]&gt;3, Таблица1[[#This Row],[month]]&lt;11),"SUMMER","WINTER")</f>
        <v>SUMMER</v>
      </c>
    </row>
    <row r="305" spans="1:13" x14ac:dyDescent="0.25">
      <c r="A305" s="2">
        <v>44487</v>
      </c>
      <c r="B305" s="5">
        <v>28.887499999999999</v>
      </c>
      <c r="C305" s="5">
        <v>755.9</v>
      </c>
      <c r="D305" s="5">
        <v>21.125</v>
      </c>
      <c r="E305" s="5">
        <f>Таблица1[[#This Row],[pressure]]/760*101325</f>
        <v>100778.37828947368</v>
      </c>
      <c r="F305" s="7">
        <f>Таблица1[[#This Row],[humidity]]/100</f>
        <v>0.21124999999999999</v>
      </c>
      <c r="G305" s="5" cm="1">
        <f t="array" ref="G305">wet_bulb_temp(Таблица1[[#This Row],[temp]],Таблица1[[#This Row],[humidity_ratio]],Таблица1[[#This Row],[pressure_kpa]])</f>
        <v>15.151333901848691</v>
      </c>
      <c r="H305" s="5" cm="1">
        <f t="array" ref="H305">wet_bulb_temp_simple(Таблица1[[#This Row],[temp]],Таблица1[[#This Row],[humidity]])</f>
        <v>15.437585376771008</v>
      </c>
      <c r="I305" s="5">
        <f>IF(Таблица1[[#This Row],[wet_bulb_thermo]]+$F$1&lt;20,20,Таблица1[[#This Row],[wet_bulb_thermo]]+$F$1)</f>
        <v>25.151333901848691</v>
      </c>
      <c r="J305" s="9">
        <f>Таблица1[[#This Row],[Tcold]]+$I$1</f>
        <v>35.151333901848687</v>
      </c>
      <c r="K305" s="12" cm="1">
        <f t="array" ref="K305">evaporation(Таблица1[[#This Row],[Thot]],Таблица1[[#This Row],[Tcold]],Таблица1[[#This Row],[temp]],Таблица1[[#This Row],[humidity_ratio]],Таблица1[[#This Row],[pressure_kpa]])/$I$1</f>
        <v>1.5593432194190848E-3</v>
      </c>
      <c r="L305">
        <f>MONTH(Таблица1[[#This Row],[date]])</f>
        <v>10</v>
      </c>
      <c r="M305" t="str">
        <f>IF(AND(Таблица1[[#This Row],[month]]&gt;3, Таблица1[[#This Row],[month]]&lt;11),"SUMMER","WINTER")</f>
        <v>SUMMER</v>
      </c>
    </row>
    <row r="306" spans="1:13" x14ac:dyDescent="0.25">
      <c r="A306" s="2">
        <v>44488</v>
      </c>
      <c r="B306" s="5">
        <v>27.8</v>
      </c>
      <c r="C306" s="5">
        <v>757.22500000000002</v>
      </c>
      <c r="D306" s="5">
        <v>27.75</v>
      </c>
      <c r="E306" s="5">
        <f>Таблица1[[#This Row],[pressure]]/760*101325</f>
        <v>100955.03042763159</v>
      </c>
      <c r="F306" s="7">
        <f>Таблица1[[#This Row],[humidity]]/100</f>
        <v>0.27750000000000002</v>
      </c>
      <c r="G306" s="5" cm="1">
        <f t="array" ref="G306">wet_bulb_temp(Таблица1[[#This Row],[temp]],Таблица1[[#This Row],[humidity_ratio]],Таблица1[[#This Row],[pressure_kpa]])</f>
        <v>15.847693803754657</v>
      </c>
      <c r="H306" s="5" cm="1">
        <f t="array" ref="H306">wet_bulb_temp_simple(Таблица1[[#This Row],[temp]],Таблица1[[#This Row],[humidity]])</f>
        <v>16.226434009960943</v>
      </c>
      <c r="I306" s="5">
        <f>IF(Таблица1[[#This Row],[wet_bulb_thermo]]+$F$1&lt;20,20,Таблица1[[#This Row],[wet_bulb_thermo]]+$F$1)</f>
        <v>25.847693803754659</v>
      </c>
      <c r="J306" s="9">
        <f>Таблица1[[#This Row],[Tcold]]+$I$1</f>
        <v>35.847693803754659</v>
      </c>
      <c r="K306" s="12" cm="1">
        <f t="array" ref="K306">evaporation(Таблица1[[#This Row],[Thot]],Таблица1[[#This Row],[Tcold]],Таблица1[[#This Row],[temp]],Таблица1[[#This Row],[humidity_ratio]],Таблица1[[#This Row],[pressure_kpa]])/$I$1</f>
        <v>1.5287018638128094E-3</v>
      </c>
      <c r="L306">
        <f>MONTH(Таблица1[[#This Row],[date]])</f>
        <v>10</v>
      </c>
      <c r="M306" t="str">
        <f>IF(AND(Таблица1[[#This Row],[month]]&gt;3, Таблица1[[#This Row],[month]]&lt;11),"SUMMER","WINTER")</f>
        <v>SUMMER</v>
      </c>
    </row>
    <row r="307" spans="1:13" x14ac:dyDescent="0.25">
      <c r="A307" s="2">
        <v>44489</v>
      </c>
      <c r="B307" s="5">
        <v>28.8</v>
      </c>
      <c r="C307" s="5">
        <v>757.96249999999998</v>
      </c>
      <c r="D307" s="5">
        <v>26.625</v>
      </c>
      <c r="E307" s="5">
        <f>Таблица1[[#This Row],[pressure]]/760*101325</f>
        <v>101053.35567434211</v>
      </c>
      <c r="F307" s="7">
        <f>Таблица1[[#This Row],[humidity]]/100</f>
        <v>0.26624999999999999</v>
      </c>
      <c r="G307" s="5" cm="1">
        <f t="array" ref="G307">wet_bulb_temp(Таблица1[[#This Row],[temp]],Таблица1[[#This Row],[humidity_ratio]],Таблица1[[#This Row],[pressure_kpa]])</f>
        <v>16.289029215758635</v>
      </c>
      <c r="H307" s="5" cm="1">
        <f t="array" ref="H307">wet_bulb_temp_simple(Таблица1[[#This Row],[temp]],Таблица1[[#This Row],[humidity]])</f>
        <v>16.711145763488872</v>
      </c>
      <c r="I307" s="5">
        <f>IF(Таблица1[[#This Row],[wet_bulb_thermo]]+$F$1&lt;20,20,Таблица1[[#This Row],[wet_bulb_thermo]]+$F$1)</f>
        <v>26.289029215758635</v>
      </c>
      <c r="J307" s="9">
        <f>Таблица1[[#This Row],[Tcold]]+$I$1</f>
        <v>36.289029215758632</v>
      </c>
      <c r="K307" s="12" cm="1">
        <f t="array" ref="K307">evaporation(Таблица1[[#This Row],[Thot]],Таблица1[[#This Row],[Tcold]],Таблица1[[#This Row],[temp]],Таблица1[[#This Row],[humidity_ratio]],Таблица1[[#This Row],[pressure_kpa]])/$I$1</f>
        <v>1.5421146377064916E-3</v>
      </c>
      <c r="L307">
        <f>MONTH(Таблица1[[#This Row],[date]])</f>
        <v>10</v>
      </c>
      <c r="M307" t="str">
        <f>IF(AND(Таблица1[[#This Row],[month]]&gt;3, Таблица1[[#This Row],[month]]&lt;11),"SUMMER","WINTER")</f>
        <v>SUMMER</v>
      </c>
    </row>
    <row r="308" spans="1:13" x14ac:dyDescent="0.25">
      <c r="A308" s="2">
        <v>44490</v>
      </c>
      <c r="B308" s="5">
        <v>26.55</v>
      </c>
      <c r="C308" s="5">
        <v>758.92499999999995</v>
      </c>
      <c r="D308" s="5">
        <v>31.625</v>
      </c>
      <c r="E308" s="5">
        <f>Таблица1[[#This Row],[pressure]]/760*101325</f>
        <v>101181.67845394736</v>
      </c>
      <c r="F308" s="7">
        <f>Таблица1[[#This Row],[humidity]]/100</f>
        <v>0.31624999999999998</v>
      </c>
      <c r="G308" s="5" cm="1">
        <f t="array" ref="G308">wet_bulb_temp(Таблица1[[#This Row],[temp]],Таблица1[[#This Row],[humidity_ratio]],Таблица1[[#This Row],[pressure_kpa]])</f>
        <v>15.73020257715403</v>
      </c>
      <c r="H308" s="5" cm="1">
        <f t="array" ref="H308">wet_bulb_temp_simple(Таблица1[[#This Row],[temp]],Таблица1[[#This Row],[humidity]])</f>
        <v>16.086616291873106</v>
      </c>
      <c r="I308" s="5">
        <f>IF(Таблица1[[#This Row],[wet_bulb_thermo]]+$F$1&lt;20,20,Таблица1[[#This Row],[wet_bulb_thermo]]+$F$1)</f>
        <v>25.730202577154031</v>
      </c>
      <c r="J308" s="9">
        <f>Таблица1[[#This Row],[Tcold]]+$I$1</f>
        <v>35.730202577154031</v>
      </c>
      <c r="K308" s="12" cm="1">
        <f t="array" ref="K308">evaporation(Таблица1[[#This Row],[Thot]],Таблица1[[#This Row],[Tcold]],Таблица1[[#This Row],[temp]],Таблица1[[#This Row],[humidity_ratio]],Таблица1[[#This Row],[pressure_kpa]])/$I$1</f>
        <v>1.5055778431640966E-3</v>
      </c>
      <c r="L308">
        <f>MONTH(Таблица1[[#This Row],[date]])</f>
        <v>10</v>
      </c>
      <c r="M308" t="str">
        <f>IF(AND(Таблица1[[#This Row],[month]]&gt;3, Таблица1[[#This Row],[month]]&lt;11),"SUMMER","WINTER")</f>
        <v>SUMMER</v>
      </c>
    </row>
    <row r="309" spans="1:13" x14ac:dyDescent="0.25">
      <c r="A309" s="2">
        <v>44491</v>
      </c>
      <c r="B309" s="5">
        <v>25.824999999999999</v>
      </c>
      <c r="C309" s="5">
        <v>758.45</v>
      </c>
      <c r="D309" s="5">
        <v>29</v>
      </c>
      <c r="E309" s="5">
        <f>Таблица1[[#This Row],[pressure]]/760*101325</f>
        <v>101118.35032894737</v>
      </c>
      <c r="F309" s="7">
        <f>Таблица1[[#This Row],[humidity]]/100</f>
        <v>0.28999999999999998</v>
      </c>
      <c r="G309" s="5" cm="1">
        <f t="array" ref="G309">wet_bulb_temp(Таблица1[[#This Row],[temp]],Таблица1[[#This Row],[humidity_ratio]],Таблица1[[#This Row],[pressure_kpa]])</f>
        <v>14.718882477891141</v>
      </c>
      <c r="H309" s="5" cm="1">
        <f t="array" ref="H309">wet_bulb_temp_simple(Таблица1[[#This Row],[temp]],Таблица1[[#This Row],[humidity]])</f>
        <v>15.017300433819864</v>
      </c>
      <c r="I309" s="5">
        <f>IF(Таблица1[[#This Row],[wet_bulb_thermo]]+$F$1&lt;20,20,Таблица1[[#This Row],[wet_bulb_thermo]]+$F$1)</f>
        <v>24.718882477891142</v>
      </c>
      <c r="J309" s="9">
        <f>Таблица1[[#This Row],[Tcold]]+$I$1</f>
        <v>34.718882477891142</v>
      </c>
      <c r="K309" s="12" cm="1">
        <f t="array" ref="K309">evaporation(Таблица1[[#This Row],[Thot]],Таблица1[[#This Row],[Tcold]],Таблица1[[#This Row],[temp]],Таблица1[[#This Row],[humidity_ratio]],Таблица1[[#This Row],[pressure_kpa]])/$I$1</f>
        <v>1.5033458842777562E-3</v>
      </c>
      <c r="L309">
        <f>MONTH(Таблица1[[#This Row],[date]])</f>
        <v>10</v>
      </c>
      <c r="M309" t="str">
        <f>IF(AND(Таблица1[[#This Row],[month]]&gt;3, Таблица1[[#This Row],[month]]&lt;11),"SUMMER","WINTER")</f>
        <v>SUMMER</v>
      </c>
    </row>
    <row r="310" spans="1:13" x14ac:dyDescent="0.25">
      <c r="A310" s="2">
        <v>44492</v>
      </c>
      <c r="B310" s="5">
        <v>24.95</v>
      </c>
      <c r="C310" s="5">
        <v>758.4375</v>
      </c>
      <c r="D310" s="5">
        <v>27.375</v>
      </c>
      <c r="E310" s="5">
        <f>Таблица1[[#This Row],[pressure]]/760*101325</f>
        <v>101116.68379934211</v>
      </c>
      <c r="F310" s="7">
        <f>Таблица1[[#This Row],[humidity]]/100</f>
        <v>0.27374999999999999</v>
      </c>
      <c r="G310" s="5" cm="1">
        <f t="array" ref="G310">wet_bulb_temp(Таблица1[[#This Row],[temp]],Таблица1[[#This Row],[humidity_ratio]],Таблица1[[#This Row],[pressure_kpa]])</f>
        <v>13.806190854049358</v>
      </c>
      <c r="H310" s="5" cm="1">
        <f t="array" ref="H310">wet_bulb_temp_simple(Таблица1[[#This Row],[temp]],Таблица1[[#This Row],[humidity]])</f>
        <v>14.042571611189009</v>
      </c>
      <c r="I310" s="5">
        <f>IF(Таблица1[[#This Row],[wet_bulb_thermo]]+$F$1&lt;20,20,Таблица1[[#This Row],[wet_bulb_thermo]]+$F$1)</f>
        <v>23.806190854049358</v>
      </c>
      <c r="J310" s="9">
        <f>Таблица1[[#This Row],[Tcold]]+$I$1</f>
        <v>33.806190854049362</v>
      </c>
      <c r="K310" s="12" cm="1">
        <f t="array" ref="K310">evaporation(Таблица1[[#This Row],[Thot]],Таблица1[[#This Row],[Tcold]],Таблица1[[#This Row],[temp]],Таблица1[[#This Row],[humidity_ratio]],Таблица1[[#This Row],[pressure_kpa]])/$I$1</f>
        <v>1.4968067325772283E-3</v>
      </c>
      <c r="L310">
        <f>MONTH(Таблица1[[#This Row],[date]])</f>
        <v>10</v>
      </c>
      <c r="M310" t="str">
        <f>IF(AND(Таблица1[[#This Row],[month]]&gt;3, Таблица1[[#This Row],[month]]&lt;11),"SUMMER","WINTER")</f>
        <v>SUMMER</v>
      </c>
    </row>
    <row r="311" spans="1:13" x14ac:dyDescent="0.25">
      <c r="A311" s="2">
        <v>44493</v>
      </c>
      <c r="B311" s="5">
        <v>25.1875</v>
      </c>
      <c r="C311" s="5">
        <v>757.13750000000005</v>
      </c>
      <c r="D311" s="5">
        <v>29.5</v>
      </c>
      <c r="E311" s="5">
        <f>Таблица1[[#This Row],[pressure]]/760*101325</f>
        <v>100943.36472039473</v>
      </c>
      <c r="F311" s="7">
        <f>Таблица1[[#This Row],[humidity]]/100</f>
        <v>0.29499999999999998</v>
      </c>
      <c r="G311" s="5" cm="1">
        <f t="array" ref="G311">wet_bulb_temp(Таблица1[[#This Row],[temp]],Таблица1[[#This Row],[humidity_ratio]],Таблица1[[#This Row],[pressure_kpa]])</f>
        <v>14.377096400495702</v>
      </c>
      <c r="H311" s="5" cm="1">
        <f t="array" ref="H311">wet_bulb_temp_simple(Таблица1[[#This Row],[temp]],Таблица1[[#This Row],[humidity]])</f>
        <v>14.637548830322213</v>
      </c>
      <c r="I311" s="5">
        <f>IF(Таблица1[[#This Row],[wet_bulb_thermo]]+$F$1&lt;20,20,Таблица1[[#This Row],[wet_bulb_thermo]]+$F$1)</f>
        <v>24.377096400495702</v>
      </c>
      <c r="J311" s="9">
        <f>Таблица1[[#This Row],[Tcold]]+$I$1</f>
        <v>34.377096400495702</v>
      </c>
      <c r="K311" s="12" cm="1">
        <f t="array" ref="K311">evaporation(Таблица1[[#This Row],[Thot]],Таблица1[[#This Row],[Tcold]],Таблица1[[#This Row],[temp]],Таблица1[[#This Row],[humidity_ratio]],Таблица1[[#This Row],[pressure_kpa]])/$I$1</f>
        <v>1.494939535997761E-3</v>
      </c>
      <c r="L311">
        <f>MONTH(Таблица1[[#This Row],[date]])</f>
        <v>10</v>
      </c>
      <c r="M311" t="str">
        <f>IF(AND(Таблица1[[#This Row],[month]]&gt;3, Таблица1[[#This Row],[month]]&lt;11),"SUMMER","WINTER")</f>
        <v>SUMMER</v>
      </c>
    </row>
    <row r="312" spans="1:13" x14ac:dyDescent="0.25">
      <c r="A312" s="2">
        <v>44494</v>
      </c>
      <c r="B312" s="5">
        <v>24.487500000000001</v>
      </c>
      <c r="C312" s="5">
        <v>757.8</v>
      </c>
      <c r="D312" s="5">
        <v>25.5</v>
      </c>
      <c r="E312" s="5">
        <f>Таблица1[[#This Row],[pressure]]/760*101325</f>
        <v>101031.69078947368</v>
      </c>
      <c r="F312" s="7">
        <f>Таблица1[[#This Row],[humidity]]/100</f>
        <v>0.255</v>
      </c>
      <c r="G312" s="5" cm="1">
        <f t="array" ref="G312">wet_bulb_temp(Таблица1[[#This Row],[temp]],Таблица1[[#This Row],[humidity_ratio]],Таблица1[[#This Row],[pressure_kpa]])</f>
        <v>13.14540773406941</v>
      </c>
      <c r="H312" s="5" cm="1">
        <f t="array" ref="H312">wet_bulb_temp_simple(Таблица1[[#This Row],[temp]],Таблица1[[#This Row],[humidity]])</f>
        <v>13.327542592226274</v>
      </c>
      <c r="I312" s="5">
        <f>IF(Таблица1[[#This Row],[wet_bulb_thermo]]+$F$1&lt;20,20,Таблица1[[#This Row],[wet_bulb_thermo]]+$F$1)</f>
        <v>23.145407734069408</v>
      </c>
      <c r="J312" s="9">
        <f>Таблица1[[#This Row],[Tcold]]+$I$1</f>
        <v>33.145407734069408</v>
      </c>
      <c r="K312" s="12" cm="1">
        <f t="array" ref="K312">evaporation(Таблица1[[#This Row],[Thot]],Таблица1[[#This Row],[Tcold]],Таблица1[[#This Row],[temp]],Таблица1[[#This Row],[humidity_ratio]],Таблица1[[#This Row],[pressure_kpa]])/$I$1</f>
        <v>1.4958397458001162E-3</v>
      </c>
      <c r="L312">
        <f>MONTH(Таблица1[[#This Row],[date]])</f>
        <v>10</v>
      </c>
      <c r="M312" t="str">
        <f>IF(AND(Таблица1[[#This Row],[month]]&gt;3, Таблица1[[#This Row],[month]]&lt;11),"SUMMER","WINTER")</f>
        <v>SUMMER</v>
      </c>
    </row>
    <row r="313" spans="1:13" x14ac:dyDescent="0.25">
      <c r="A313" s="2">
        <v>44495</v>
      </c>
      <c r="B313" s="5">
        <v>23.487500000000001</v>
      </c>
      <c r="C313" s="5">
        <v>758.33749999999998</v>
      </c>
      <c r="D313" s="5">
        <v>25.625</v>
      </c>
      <c r="E313" s="5">
        <f>Таблица1[[#This Row],[pressure]]/760*101325</f>
        <v>101103.3515625</v>
      </c>
      <c r="F313" s="7">
        <f>Таблица1[[#This Row],[humidity]]/100</f>
        <v>0.25624999999999998</v>
      </c>
      <c r="G313" s="5" cm="1">
        <f t="array" ref="G313">wet_bulb_temp(Таблица1[[#This Row],[temp]],Таблица1[[#This Row],[humidity_ratio]],Таблица1[[#This Row],[pressure_kpa]])</f>
        <v>12.488957102558796</v>
      </c>
      <c r="H313" s="5" cm="1">
        <f t="array" ref="H313">wet_bulb_temp_simple(Таблица1[[#This Row],[temp]],Таблица1[[#This Row],[humidity]])</f>
        <v>12.627779952822042</v>
      </c>
      <c r="I313" s="5">
        <f>IF(Таблица1[[#This Row],[wet_bulb_thermo]]+$F$1&lt;20,20,Таблица1[[#This Row],[wet_bulb_thermo]]+$F$1)</f>
        <v>22.488957102558796</v>
      </c>
      <c r="J313" s="9">
        <f>Таблица1[[#This Row],[Tcold]]+$I$1</f>
        <v>32.4889571025588</v>
      </c>
      <c r="K313" s="12" cm="1">
        <f t="array" ref="K313">evaporation(Таблица1[[#This Row],[Thot]],Таблица1[[#This Row],[Tcold]],Таблица1[[#This Row],[temp]],Таблица1[[#This Row],[humidity_ratio]],Таблица1[[#This Row],[pressure_kpa]])/$I$1</f>
        <v>1.4827291812636657E-3</v>
      </c>
      <c r="L313">
        <f>MONTH(Таблица1[[#This Row],[date]])</f>
        <v>10</v>
      </c>
      <c r="M313" t="str">
        <f>IF(AND(Таблица1[[#This Row],[month]]&gt;3, Таблица1[[#This Row],[month]]&lt;11),"SUMMER","WINTER")</f>
        <v>SUMMER</v>
      </c>
    </row>
    <row r="314" spans="1:13" x14ac:dyDescent="0.25">
      <c r="A314" s="2">
        <v>44496</v>
      </c>
      <c r="B314" s="5">
        <v>22.15</v>
      </c>
      <c r="C314" s="5">
        <v>758.92499999999995</v>
      </c>
      <c r="D314" s="5">
        <v>32.875</v>
      </c>
      <c r="E314" s="5">
        <f>Таблица1[[#This Row],[pressure]]/760*101325</f>
        <v>101181.67845394736</v>
      </c>
      <c r="F314" s="7">
        <f>Таблица1[[#This Row],[humidity]]/100</f>
        <v>0.32874999999999999</v>
      </c>
      <c r="G314" s="5" cm="1">
        <f t="array" ref="G314">wet_bulb_temp(Таблица1[[#This Row],[temp]],Таблица1[[#This Row],[humidity_ratio]],Таблица1[[#This Row],[pressure_kpa]])</f>
        <v>12.789983949789749</v>
      </c>
      <c r="H314" s="5" cm="1">
        <f t="array" ref="H314">wet_bulb_temp_simple(Таблица1[[#This Row],[temp]],Таблица1[[#This Row],[humidity]])</f>
        <v>12.927901575837634</v>
      </c>
      <c r="I314" s="5">
        <f>IF(Таблица1[[#This Row],[wet_bulb_thermo]]+$F$1&lt;20,20,Таблица1[[#This Row],[wet_bulb_thermo]]+$F$1)</f>
        <v>22.78998394978975</v>
      </c>
      <c r="J314" s="9">
        <f>Таблица1[[#This Row],[Tcold]]+$I$1</f>
        <v>32.78998394978975</v>
      </c>
      <c r="K314" s="12" cm="1">
        <f t="array" ref="K314">evaporation(Таблица1[[#This Row],[Thot]],Таблица1[[#This Row],[Tcold]],Таблица1[[#This Row],[temp]],Таблица1[[#This Row],[humidity_ratio]],Таблица1[[#This Row],[pressure_kpa]])/$I$1</f>
        <v>1.4492945759042616E-3</v>
      </c>
      <c r="L314">
        <f>MONTH(Таблица1[[#This Row],[date]])</f>
        <v>10</v>
      </c>
      <c r="M314" t="str">
        <f>IF(AND(Таблица1[[#This Row],[month]]&gt;3, Таблица1[[#This Row],[month]]&lt;11),"SUMMER","WINTER")</f>
        <v>SUMMER</v>
      </c>
    </row>
    <row r="315" spans="1:13" x14ac:dyDescent="0.25">
      <c r="A315" s="2">
        <v>44497</v>
      </c>
      <c r="B315" s="5">
        <v>23.012499999999999</v>
      </c>
      <c r="C315" s="5">
        <v>758.5625</v>
      </c>
      <c r="D315" s="5">
        <v>31.25</v>
      </c>
      <c r="E315" s="5">
        <f>Таблица1[[#This Row],[pressure]]/760*101325</f>
        <v>101133.34909539473</v>
      </c>
      <c r="F315" s="7">
        <f>Таблица1[[#This Row],[humidity]]/100</f>
        <v>0.3125</v>
      </c>
      <c r="G315" s="5" cm="1">
        <f t="array" ref="G315">wet_bulb_temp(Таблица1[[#This Row],[temp]],Таблица1[[#This Row],[humidity_ratio]],Таблица1[[#This Row],[pressure_kpa]])</f>
        <v>13.140734525863424</v>
      </c>
      <c r="H315" s="5" cm="1">
        <f t="array" ref="H315">wet_bulb_temp_simple(Таблица1[[#This Row],[temp]],Таблица1[[#This Row],[humidity]])</f>
        <v>13.312906766551196</v>
      </c>
      <c r="I315" s="5">
        <f>IF(Таблица1[[#This Row],[wet_bulb_thermo]]+$F$1&lt;20,20,Таблица1[[#This Row],[wet_bulb_thermo]]+$F$1)</f>
        <v>23.140734525863422</v>
      </c>
      <c r="J315" s="9">
        <f>Таблица1[[#This Row],[Tcold]]+$I$1</f>
        <v>33.140734525863422</v>
      </c>
      <c r="K315" s="12" cm="1">
        <f t="array" ref="K315">evaporation(Таблица1[[#This Row],[Thot]],Таблица1[[#This Row],[Tcold]],Таблица1[[#This Row],[temp]],Таблица1[[#This Row],[humidity_ratio]],Таблица1[[#This Row],[pressure_kpa]])/$I$1</f>
        <v>1.4639154166200855E-3</v>
      </c>
      <c r="L315">
        <f>MONTH(Таблица1[[#This Row],[date]])</f>
        <v>10</v>
      </c>
      <c r="M315" t="str">
        <f>IF(AND(Таблица1[[#This Row],[month]]&gt;3, Таблица1[[#This Row],[month]]&lt;11),"SUMMER","WINTER")</f>
        <v>SUMMER</v>
      </c>
    </row>
    <row r="316" spans="1:13" x14ac:dyDescent="0.25">
      <c r="A316" s="2">
        <v>44498</v>
      </c>
      <c r="B316" s="5">
        <v>26.637499999999999</v>
      </c>
      <c r="C316" s="5">
        <v>759.47500000000002</v>
      </c>
      <c r="D316" s="5">
        <v>36.375</v>
      </c>
      <c r="E316" s="5">
        <f>Таблица1[[#This Row],[pressure]]/760*101325</f>
        <v>101255.00575657895</v>
      </c>
      <c r="F316" s="7">
        <f>Таблица1[[#This Row],[humidity]]/100</f>
        <v>0.36375000000000002</v>
      </c>
      <c r="G316" s="5" cm="1">
        <f t="array" ref="G316">wet_bulb_temp(Таблица1[[#This Row],[temp]],Таблица1[[#This Row],[humidity_ratio]],Таблица1[[#This Row],[pressure_kpa]])</f>
        <v>16.690907369331196</v>
      </c>
      <c r="H316" s="5" cm="1">
        <f t="array" ref="H316">wet_bulb_temp_simple(Таблица1[[#This Row],[temp]],Таблица1[[#This Row],[humidity]])</f>
        <v>17.059567982389204</v>
      </c>
      <c r="I316" s="5">
        <f>IF(Таблица1[[#This Row],[wet_bulb_thermo]]+$F$1&lt;20,20,Таблица1[[#This Row],[wet_bulb_thermo]]+$F$1)</f>
        <v>26.690907369331196</v>
      </c>
      <c r="J316" s="9">
        <f>Таблица1[[#This Row],[Tcold]]+$I$1</f>
        <v>36.6909073693312</v>
      </c>
      <c r="K316" s="12" cm="1">
        <f t="array" ref="K316">evaporation(Таблица1[[#This Row],[Thot]],Таблица1[[#This Row],[Tcold]],Таблица1[[#This Row],[temp]],Таблица1[[#This Row],[humidity_ratio]],Таблица1[[#This Row],[pressure_kpa]])/$I$1</f>
        <v>1.4967188492800763E-3</v>
      </c>
      <c r="L316">
        <f>MONTH(Таблица1[[#This Row],[date]])</f>
        <v>10</v>
      </c>
      <c r="M316" t="str">
        <f>IF(AND(Таблица1[[#This Row],[month]]&gt;3, Таблица1[[#This Row],[month]]&lt;11),"SUMMER","WINTER")</f>
        <v>SUMMER</v>
      </c>
    </row>
    <row r="317" spans="1:13" x14ac:dyDescent="0.25">
      <c r="A317" s="2">
        <v>44499</v>
      </c>
      <c r="B317" s="5">
        <v>29.112500000000001</v>
      </c>
      <c r="C317" s="5">
        <v>762.625</v>
      </c>
      <c r="D317" s="5">
        <v>49.5</v>
      </c>
      <c r="E317" s="5">
        <f>Таблица1[[#This Row],[pressure]]/760*101325</f>
        <v>101674.97121710525</v>
      </c>
      <c r="F317" s="7">
        <f>Таблица1[[#This Row],[humidity]]/100</f>
        <v>0.495</v>
      </c>
      <c r="G317" s="5" cm="1">
        <f t="array" ref="G317">wet_bulb_temp(Таблица1[[#This Row],[temp]],Таблица1[[#This Row],[humidity_ratio]],Таблица1[[#This Row],[pressure_kpa]])</f>
        <v>21.033866551414633</v>
      </c>
      <c r="H317" s="5" cm="1">
        <f t="array" ref="H317">wet_bulb_temp_simple(Таблица1[[#This Row],[temp]],Таблица1[[#This Row],[humidity]])</f>
        <v>21.447395039213923</v>
      </c>
      <c r="I317" s="5">
        <f>IF(Таблица1[[#This Row],[wet_bulb_thermo]]+$F$1&lt;20,20,Таблица1[[#This Row],[wet_bulb_thermo]]+$F$1)</f>
        <v>31.033866551414633</v>
      </c>
      <c r="J317" s="9">
        <f>Таблица1[[#This Row],[Tcold]]+$I$1</f>
        <v>41.033866551414633</v>
      </c>
      <c r="K317" s="12" cm="1">
        <f t="array" ref="K317">evaporation(Таблица1[[#This Row],[Thot]],Таблица1[[#This Row],[Tcold]],Таблица1[[#This Row],[temp]],Таблица1[[#This Row],[humidity_ratio]],Таблица1[[#This Row],[pressure_kpa]])/$I$1</f>
        <v>1.5011071541570528E-3</v>
      </c>
      <c r="L317">
        <f>MONTH(Таблица1[[#This Row],[date]])</f>
        <v>10</v>
      </c>
      <c r="M317" t="str">
        <f>IF(AND(Таблица1[[#This Row],[month]]&gt;3, Таблица1[[#This Row],[month]]&lt;11),"SUMMER","WINTER")</f>
        <v>SUMMER</v>
      </c>
    </row>
    <row r="318" spans="1:13" x14ac:dyDescent="0.25">
      <c r="A318" s="2">
        <v>44500</v>
      </c>
      <c r="B318" s="5">
        <v>27.1875</v>
      </c>
      <c r="C318" s="5">
        <v>763.22500000000002</v>
      </c>
      <c r="D318" s="5">
        <v>56</v>
      </c>
      <c r="E318" s="5">
        <f>Таблица1[[#This Row],[pressure]]/760*101325</f>
        <v>101754.96463815791</v>
      </c>
      <c r="F318" s="7">
        <f>Таблица1[[#This Row],[humidity]]/100</f>
        <v>0.56000000000000005</v>
      </c>
      <c r="G318" s="5" cm="1">
        <f t="array" ref="G318">wet_bulb_temp(Таблица1[[#This Row],[temp]],Таблица1[[#This Row],[humidity_ratio]],Таблица1[[#This Row],[pressure_kpa]])</f>
        <v>20.570404006578361</v>
      </c>
      <c r="H318" s="5" cm="1">
        <f t="array" ref="H318">wet_bulb_temp_simple(Таблица1[[#This Row],[temp]],Таблица1[[#This Row],[humidity]])</f>
        <v>20.844406413472697</v>
      </c>
      <c r="I318" s="5">
        <f>IF(Таблица1[[#This Row],[wet_bulb_thermo]]+$F$1&lt;20,20,Таблица1[[#This Row],[wet_bulb_thermo]]+$F$1)</f>
        <v>30.570404006578361</v>
      </c>
      <c r="J318" s="9">
        <f>Таблица1[[#This Row],[Tcold]]+$I$1</f>
        <v>40.570404006578357</v>
      </c>
      <c r="K318" s="12" cm="1">
        <f t="array" ref="K318">evaporation(Таблица1[[#This Row],[Thot]],Таблица1[[#This Row],[Tcold]],Таблица1[[#This Row],[temp]],Таблица1[[#This Row],[humidity_ratio]],Таблица1[[#This Row],[pressure_kpa]])/$I$1</f>
        <v>1.4739054401343467E-3</v>
      </c>
      <c r="L318">
        <f>MONTH(Таблица1[[#This Row],[date]])</f>
        <v>10</v>
      </c>
      <c r="M318" t="str">
        <f>IF(AND(Таблица1[[#This Row],[month]]&gt;3, Таблица1[[#This Row],[month]]&lt;11),"SUMMER","WINTER")</f>
        <v>SUMMER</v>
      </c>
    </row>
    <row r="319" spans="1:13" x14ac:dyDescent="0.25">
      <c r="A319" s="2">
        <v>44501</v>
      </c>
      <c r="B319" s="5">
        <v>26.85</v>
      </c>
      <c r="C319" s="5">
        <v>760.8</v>
      </c>
      <c r="D319" s="5">
        <v>42.75</v>
      </c>
      <c r="E319" s="5">
        <f>Таблица1[[#This Row],[pressure]]/760*101325</f>
        <v>101431.65789473684</v>
      </c>
      <c r="F319" s="7">
        <f>Таблица1[[#This Row],[humidity]]/100</f>
        <v>0.42749999999999999</v>
      </c>
      <c r="G319" s="5" cm="1">
        <f t="array" ref="G319">wet_bulb_temp(Таблица1[[#This Row],[temp]],Таблица1[[#This Row],[humidity_ratio]],Таблица1[[#This Row],[pressure_kpa]])</f>
        <v>18.013000281244484</v>
      </c>
      <c r="H319" s="5" cm="1">
        <f t="array" ref="H319">wet_bulb_temp_simple(Таблица1[[#This Row],[temp]],Таблица1[[#This Row],[humidity]])</f>
        <v>18.371680257625769</v>
      </c>
      <c r="I319" s="5">
        <f>IF(Таблица1[[#This Row],[wet_bulb_thermo]]+$F$1&lt;20,20,Таблица1[[#This Row],[wet_bulb_thermo]]+$F$1)</f>
        <v>28.013000281244484</v>
      </c>
      <c r="J319" s="9">
        <f>Таблица1[[#This Row],[Tcold]]+$I$1</f>
        <v>38.013000281244487</v>
      </c>
      <c r="K319" s="12" cm="1">
        <f t="array" ref="K319">evaporation(Таблица1[[#This Row],[Thot]],Таблица1[[#This Row],[Tcold]],Таблица1[[#This Row],[temp]],Таблица1[[#This Row],[humidity_ratio]],Таблица1[[#This Row],[pressure_kpa]])/$I$1</f>
        <v>1.4877230305696976E-3</v>
      </c>
      <c r="L319">
        <f>MONTH(Таблица1[[#This Row],[date]])</f>
        <v>11</v>
      </c>
      <c r="M319" t="str">
        <f>IF(AND(Таблица1[[#This Row],[month]]&gt;3, Таблица1[[#This Row],[month]]&lt;11),"SUMMER","WINTER")</f>
        <v>WINTER</v>
      </c>
    </row>
    <row r="320" spans="1:13" x14ac:dyDescent="0.25">
      <c r="A320" s="2">
        <v>44502</v>
      </c>
      <c r="B320" s="5">
        <v>27.337499999999999</v>
      </c>
      <c r="C320" s="5">
        <v>758.375</v>
      </c>
      <c r="D320" s="5">
        <v>32.125</v>
      </c>
      <c r="E320" s="5">
        <f>Таблица1[[#This Row],[pressure]]/760*101325</f>
        <v>101108.35115131579</v>
      </c>
      <c r="F320" s="7">
        <f>Таблица1[[#This Row],[humidity]]/100</f>
        <v>0.32124999999999998</v>
      </c>
      <c r="G320" s="5" cm="1">
        <f t="array" ref="G320">wet_bulb_temp(Таблица1[[#This Row],[temp]],Таблица1[[#This Row],[humidity_ratio]],Таблица1[[#This Row],[pressure_kpa]])</f>
        <v>16.395681947850179</v>
      </c>
      <c r="H320" s="5" cm="1">
        <f t="array" ref="H320">wet_bulb_temp_simple(Таблица1[[#This Row],[temp]],Таблица1[[#This Row],[humidity]])</f>
        <v>16.789839547067032</v>
      </c>
      <c r="I320" s="5">
        <f>IF(Таблица1[[#This Row],[wet_bulb_thermo]]+$F$1&lt;20,20,Таблица1[[#This Row],[wet_bulb_thermo]]+$F$1)</f>
        <v>26.395681947850179</v>
      </c>
      <c r="J320" s="9">
        <f>Таблица1[[#This Row],[Tcold]]+$I$1</f>
        <v>36.395681947850179</v>
      </c>
      <c r="K320" s="12" cm="1">
        <f t="array" ref="K320">evaporation(Таблица1[[#This Row],[Thot]],Таблица1[[#This Row],[Tcold]],Таблица1[[#This Row],[temp]],Таблица1[[#This Row],[humidity_ratio]],Таблица1[[#This Row],[pressure_kpa]])/$I$1</f>
        <v>1.5132344896912095E-3</v>
      </c>
      <c r="L320">
        <f>MONTH(Таблица1[[#This Row],[date]])</f>
        <v>11</v>
      </c>
      <c r="M320" t="str">
        <f>IF(AND(Таблица1[[#This Row],[month]]&gt;3, Таблица1[[#This Row],[month]]&lt;11),"SUMMER","WINTER")</f>
        <v>WINTER</v>
      </c>
    </row>
    <row r="321" spans="1:13" x14ac:dyDescent="0.25">
      <c r="A321" s="2">
        <v>44503</v>
      </c>
      <c r="B321" s="5">
        <v>25.837499999999999</v>
      </c>
      <c r="C321" s="5">
        <v>757.92499999999995</v>
      </c>
      <c r="D321" s="5">
        <v>37</v>
      </c>
      <c r="E321" s="5">
        <f>Таблица1[[#This Row],[pressure]]/760*101325</f>
        <v>101048.35608552631</v>
      </c>
      <c r="F321" s="7">
        <f>Таблица1[[#This Row],[humidity]]/100</f>
        <v>0.37</v>
      </c>
      <c r="G321" s="5" cm="1">
        <f t="array" ref="G321">wet_bulb_temp(Таблица1[[#This Row],[temp]],Таблица1[[#This Row],[humidity_ratio]],Таблица1[[#This Row],[pressure_kpa]])</f>
        <v>16.223615425170944</v>
      </c>
      <c r="H321" s="5" cm="1">
        <f t="array" ref="H321">wet_bulb_temp_simple(Таблица1[[#This Row],[temp]],Таблица1[[#This Row],[humidity]])</f>
        <v>16.537017719816571</v>
      </c>
      <c r="I321" s="5">
        <f>IF(Таблица1[[#This Row],[wet_bulb_thermo]]+$F$1&lt;20,20,Таблица1[[#This Row],[wet_bulb_thermo]]+$F$1)</f>
        <v>26.223615425170944</v>
      </c>
      <c r="J321" s="9">
        <f>Таблица1[[#This Row],[Tcold]]+$I$1</f>
        <v>36.223615425170948</v>
      </c>
      <c r="K321" s="12" cm="1">
        <f t="array" ref="K321">evaporation(Таблица1[[#This Row],[Thot]],Таблица1[[#This Row],[Tcold]],Таблица1[[#This Row],[temp]],Таблица1[[#This Row],[humidity_ratio]],Таблица1[[#This Row],[pressure_kpa]])/$I$1</f>
        <v>1.4869366017327839E-3</v>
      </c>
      <c r="L321">
        <f>MONTH(Таблица1[[#This Row],[date]])</f>
        <v>11</v>
      </c>
      <c r="M321" t="str">
        <f>IF(AND(Таблица1[[#This Row],[month]]&gt;3, Таблица1[[#This Row],[month]]&lt;11),"SUMMER","WINTER")</f>
        <v>WINTER</v>
      </c>
    </row>
    <row r="322" spans="1:13" x14ac:dyDescent="0.25">
      <c r="A322" s="2">
        <v>44504</v>
      </c>
      <c r="B322" s="5">
        <v>26.712499999999999</v>
      </c>
      <c r="C322" s="5">
        <v>757.36249999999995</v>
      </c>
      <c r="D322" s="5">
        <v>35.25</v>
      </c>
      <c r="E322" s="5">
        <f>Таблица1[[#This Row],[pressure]]/760*101325</f>
        <v>100973.36225328947</v>
      </c>
      <c r="F322" s="7">
        <f>Таблица1[[#This Row],[humidity]]/100</f>
        <v>0.35249999999999998</v>
      </c>
      <c r="G322" s="5" cm="1">
        <f t="array" ref="G322">wet_bulb_temp(Таблица1[[#This Row],[temp]],Таблица1[[#This Row],[humidity_ratio]],Таблица1[[#This Row],[pressure_kpa]])</f>
        <v>16.553411477828885</v>
      </c>
      <c r="H322" s="5" cm="1">
        <f t="array" ref="H322">wet_bulb_temp_simple(Таблица1[[#This Row],[temp]],Таблица1[[#This Row],[humidity]])</f>
        <v>16.909197366981481</v>
      </c>
      <c r="I322" s="5">
        <f>IF(Таблица1[[#This Row],[wet_bulb_thermo]]+$F$1&lt;20,20,Таблица1[[#This Row],[wet_bulb_thermo]]+$F$1)</f>
        <v>26.553411477828885</v>
      </c>
      <c r="J322" s="9">
        <f>Таблица1[[#This Row],[Tcold]]+$I$1</f>
        <v>36.553411477828888</v>
      </c>
      <c r="K322" s="12" cm="1">
        <f t="array" ref="K322">evaporation(Таблица1[[#This Row],[Thot]],Таблица1[[#This Row],[Tcold]],Таблица1[[#This Row],[temp]],Таблица1[[#This Row],[humidity_ratio]],Таблица1[[#This Row],[pressure_kpa]])/$I$1</f>
        <v>1.5001320613446465E-3</v>
      </c>
      <c r="L322">
        <f>MONTH(Таблица1[[#This Row],[date]])</f>
        <v>11</v>
      </c>
      <c r="M322" t="str">
        <f>IF(AND(Таблица1[[#This Row],[month]]&gt;3, Таблица1[[#This Row],[month]]&lt;11),"SUMMER","WINTER")</f>
        <v>WINTER</v>
      </c>
    </row>
    <row r="323" spans="1:13" x14ac:dyDescent="0.25">
      <c r="A323" s="2">
        <v>44505</v>
      </c>
      <c r="B323" s="5">
        <v>24.45</v>
      </c>
      <c r="C323" s="5">
        <v>756.57500000000005</v>
      </c>
      <c r="D323" s="5">
        <v>44.375</v>
      </c>
      <c r="E323" s="5">
        <f>Таблица1[[#This Row],[pressure]]/760*101325</f>
        <v>100868.37088815789</v>
      </c>
      <c r="F323" s="7">
        <f>Таблица1[[#This Row],[humidity]]/100</f>
        <v>0.44374999999999998</v>
      </c>
      <c r="G323" s="5" cm="1">
        <f t="array" ref="G323">wet_bulb_temp(Таблица1[[#This Row],[temp]],Таблица1[[#This Row],[humidity_ratio]],Таблица1[[#This Row],[pressure_kpa]])</f>
        <v>16.454624859367435</v>
      </c>
      <c r="H323" s="5" cm="1">
        <f t="array" ref="H323">wet_bulb_temp_simple(Таблица1[[#This Row],[temp]],Таблица1[[#This Row],[humidity]])</f>
        <v>16.648162947599221</v>
      </c>
      <c r="I323" s="5">
        <f>IF(Таблица1[[#This Row],[wet_bulb_thermo]]+$F$1&lt;20,20,Таблица1[[#This Row],[wet_bulb_thermo]]+$F$1)</f>
        <v>26.454624859367435</v>
      </c>
      <c r="J323" s="9">
        <f>Таблица1[[#This Row],[Tcold]]+$I$1</f>
        <v>36.454624859367435</v>
      </c>
      <c r="K323" s="12" cm="1">
        <f t="array" ref="K323">evaporation(Таблица1[[#This Row],[Thot]],Таблица1[[#This Row],[Tcold]],Таблица1[[#This Row],[temp]],Таблица1[[#This Row],[humidity_ratio]],Таблица1[[#This Row],[pressure_kpa]])/$I$1</f>
        <v>1.4591589778377924E-3</v>
      </c>
      <c r="L323">
        <f>MONTH(Таблица1[[#This Row],[date]])</f>
        <v>11</v>
      </c>
      <c r="M323" t="str">
        <f>IF(AND(Таблица1[[#This Row],[month]]&gt;3, Таблица1[[#This Row],[month]]&lt;11),"SUMMER","WINTER")</f>
        <v>WINTER</v>
      </c>
    </row>
    <row r="324" spans="1:13" x14ac:dyDescent="0.25">
      <c r="A324" s="2">
        <v>44506</v>
      </c>
      <c r="B324" s="5">
        <v>23.85</v>
      </c>
      <c r="C324" s="5">
        <v>756.3125</v>
      </c>
      <c r="D324" s="5">
        <v>41.25</v>
      </c>
      <c r="E324" s="5">
        <f>Таблица1[[#This Row],[pressure]]/760*101325</f>
        <v>100833.37376644737</v>
      </c>
      <c r="F324" s="7">
        <f>Таблица1[[#This Row],[humidity]]/100</f>
        <v>0.41249999999999998</v>
      </c>
      <c r="G324" s="5" cm="1">
        <f t="array" ref="G324">wet_bulb_temp(Таблица1[[#This Row],[temp]],Таблица1[[#This Row],[humidity_ratio]],Таблица1[[#This Row],[pressure_kpa]])</f>
        <v>15.467698681842945</v>
      </c>
      <c r="H324" s="5" cm="1">
        <f t="array" ref="H324">wet_bulb_temp_simple(Таблица1[[#This Row],[temp]],Таблица1[[#This Row],[humidity]])</f>
        <v>15.651470729061892</v>
      </c>
      <c r="I324" s="5">
        <f>IF(Таблица1[[#This Row],[wet_bulb_thermo]]+$F$1&lt;20,20,Таблица1[[#This Row],[wet_bulb_thermo]]+$F$1)</f>
        <v>25.467698681842947</v>
      </c>
      <c r="J324" s="9">
        <f>Таблица1[[#This Row],[Tcold]]+$I$1</f>
        <v>35.467698681842947</v>
      </c>
      <c r="K324" s="12" cm="1">
        <f t="array" ref="K324">evaporation(Таблица1[[#This Row],[Thot]],Таблица1[[#This Row],[Tcold]],Таблица1[[#This Row],[temp]],Таблица1[[#This Row],[humidity_ratio]],Таблица1[[#This Row],[pressure_kpa]])/$I$1</f>
        <v>1.4567548569027874E-3</v>
      </c>
      <c r="L324">
        <f>MONTH(Таблица1[[#This Row],[date]])</f>
        <v>11</v>
      </c>
      <c r="M324" t="str">
        <f>IF(AND(Таблица1[[#This Row],[month]]&gt;3, Таблица1[[#This Row],[month]]&lt;11),"SUMMER","WINTER")</f>
        <v>WINTER</v>
      </c>
    </row>
    <row r="325" spans="1:13" x14ac:dyDescent="0.25">
      <c r="A325" s="2">
        <v>44507</v>
      </c>
      <c r="B325" s="5">
        <v>22</v>
      </c>
      <c r="C325" s="5">
        <v>755.78750000000002</v>
      </c>
      <c r="D325" s="5">
        <v>56.125</v>
      </c>
      <c r="E325" s="5">
        <f>Таблица1[[#This Row],[pressure]]/760*101325</f>
        <v>100763.37952302632</v>
      </c>
      <c r="F325" s="7">
        <f>Таблица1[[#This Row],[humidity]]/100</f>
        <v>0.56125000000000003</v>
      </c>
      <c r="G325" s="5" cm="1">
        <f t="array" ref="G325">wet_bulb_temp(Таблица1[[#This Row],[temp]],Таблица1[[#This Row],[humidity_ratio]],Таблица1[[#This Row],[pressure_kpa]])</f>
        <v>16.288412099032463</v>
      </c>
      <c r="H325" s="5" cm="1">
        <f t="array" ref="H325">wet_bulb_temp_simple(Таблица1[[#This Row],[temp]],Таблица1[[#This Row],[humidity]])</f>
        <v>16.276719976670517</v>
      </c>
      <c r="I325" s="5">
        <f>IF(Таблица1[[#This Row],[wet_bulb_thermo]]+$F$1&lt;20,20,Таблица1[[#This Row],[wet_bulb_thermo]]+$F$1)</f>
        <v>26.288412099032463</v>
      </c>
      <c r="J325" s="9">
        <f>Таблица1[[#This Row],[Tcold]]+$I$1</f>
        <v>36.288412099032463</v>
      </c>
      <c r="K325" s="12" cm="1">
        <f t="array" ref="K325">evaporation(Таблица1[[#This Row],[Thot]],Таблица1[[#This Row],[Tcold]],Таблица1[[#This Row],[temp]],Таблица1[[#This Row],[humidity_ratio]],Таблица1[[#This Row],[pressure_kpa]])/$I$1</f>
        <v>1.4149290781570781E-3</v>
      </c>
      <c r="L325">
        <f>MONTH(Таблица1[[#This Row],[date]])</f>
        <v>11</v>
      </c>
      <c r="M325" t="str">
        <f>IF(AND(Таблица1[[#This Row],[month]]&gt;3, Таблица1[[#This Row],[month]]&lt;11),"SUMMER","WINTER")</f>
        <v>WINTER</v>
      </c>
    </row>
    <row r="326" spans="1:13" x14ac:dyDescent="0.25">
      <c r="A326" s="2">
        <v>44508</v>
      </c>
      <c r="B326" s="5">
        <v>22.362500000000001</v>
      </c>
      <c r="C326" s="5">
        <v>758.36249999999995</v>
      </c>
      <c r="D326" s="5">
        <v>50.5</v>
      </c>
      <c r="E326" s="5">
        <f>Таблица1[[#This Row],[pressure]]/760*101325</f>
        <v>101106.68462171052</v>
      </c>
      <c r="F326" s="7">
        <f>Таблица1[[#This Row],[humidity]]/100</f>
        <v>0.505</v>
      </c>
      <c r="G326" s="5" cm="1">
        <f t="array" ref="G326">wet_bulb_temp(Таблица1[[#This Row],[temp]],Таблица1[[#This Row],[humidity_ratio]],Таблица1[[#This Row],[pressure_kpa]])</f>
        <v>15.730290784400024</v>
      </c>
      <c r="H326" s="5" cm="1">
        <f t="array" ref="H326">wet_bulb_temp_simple(Таблица1[[#This Row],[temp]],Таблица1[[#This Row],[humidity]])</f>
        <v>15.802395899186633</v>
      </c>
      <c r="I326" s="5">
        <f>IF(Таблица1[[#This Row],[wet_bulb_thermo]]+$F$1&lt;20,20,Таблица1[[#This Row],[wet_bulb_thermo]]+$F$1)</f>
        <v>25.730290784400026</v>
      </c>
      <c r="J326" s="9">
        <f>Таблица1[[#This Row],[Tcold]]+$I$1</f>
        <v>35.730290784400026</v>
      </c>
      <c r="K326" s="12" cm="1">
        <f t="array" ref="K326">evaporation(Таблица1[[#This Row],[Thot]],Таблица1[[#This Row],[Tcold]],Таблица1[[#This Row],[temp]],Таблица1[[#This Row],[humidity_ratio]],Таблица1[[#This Row],[pressure_kpa]])/$I$1</f>
        <v>1.4249027490392755E-3</v>
      </c>
      <c r="L326">
        <f>MONTH(Таблица1[[#This Row],[date]])</f>
        <v>11</v>
      </c>
      <c r="M326" t="str">
        <f>IF(AND(Таблица1[[#This Row],[month]]&gt;3, Таблица1[[#This Row],[month]]&lt;11),"SUMMER","WINTER")</f>
        <v>WINTER</v>
      </c>
    </row>
    <row r="327" spans="1:13" x14ac:dyDescent="0.25">
      <c r="A327" s="2">
        <v>44509</v>
      </c>
      <c r="B327" s="5">
        <v>21.524999999999999</v>
      </c>
      <c r="C327" s="5">
        <v>761.1875</v>
      </c>
      <c r="D327" s="5">
        <v>44.125</v>
      </c>
      <c r="E327" s="5">
        <f>Таблица1[[#This Row],[pressure]]/760*101325</f>
        <v>101483.32031249999</v>
      </c>
      <c r="F327" s="7">
        <f>Таблица1[[#This Row],[humidity]]/100</f>
        <v>0.44124999999999998</v>
      </c>
      <c r="G327" s="5" cm="1">
        <f t="array" ref="G327">wet_bulb_temp(Таблица1[[#This Row],[temp]],Таблица1[[#This Row],[humidity_ratio]],Таблица1[[#This Row],[pressure_kpa]])</f>
        <v>14.069355779747067</v>
      </c>
      <c r="H327" s="5" cm="1">
        <f t="array" ref="H327">wet_bulb_temp_simple(Таблица1[[#This Row],[temp]],Таблица1[[#This Row],[humidity]])</f>
        <v>14.170443460911546</v>
      </c>
      <c r="I327" s="5">
        <f>IF(Таблица1[[#This Row],[wet_bulb_thermo]]+$F$1&lt;20,20,Таблица1[[#This Row],[wet_bulb_thermo]]+$F$1)</f>
        <v>24.069355779747067</v>
      </c>
      <c r="J327" s="9">
        <f>Таблица1[[#This Row],[Tcold]]+$I$1</f>
        <v>34.06935577974707</v>
      </c>
      <c r="K327" s="12" cm="1">
        <f t="array" ref="K327">evaporation(Таблица1[[#This Row],[Thot]],Таблица1[[#This Row],[Tcold]],Таблица1[[#This Row],[temp]],Таблица1[[#This Row],[humidity_ratio]],Таблица1[[#This Row],[pressure_kpa]])/$I$1</f>
        <v>1.4214820310030265E-3</v>
      </c>
      <c r="L327">
        <f>MONTH(Таблица1[[#This Row],[date]])</f>
        <v>11</v>
      </c>
      <c r="M327" t="str">
        <f>IF(AND(Таблица1[[#This Row],[month]]&gt;3, Таблица1[[#This Row],[month]]&lt;11),"SUMMER","WINTER")</f>
        <v>WINTER</v>
      </c>
    </row>
    <row r="328" spans="1:13" x14ac:dyDescent="0.25">
      <c r="A328" s="2">
        <v>44510</v>
      </c>
      <c r="B328" s="5">
        <v>21.512499999999999</v>
      </c>
      <c r="C328" s="5">
        <v>760.41250000000002</v>
      </c>
      <c r="D328" s="5">
        <v>35.375</v>
      </c>
      <c r="E328" s="5">
        <f>Таблица1[[#This Row],[pressure]]/760*101325</f>
        <v>101379.99547697368</v>
      </c>
      <c r="F328" s="7">
        <f>Таблица1[[#This Row],[humidity]]/100</f>
        <v>0.35375000000000001</v>
      </c>
      <c r="G328" s="5" cm="1">
        <f t="array" ref="G328">wet_bulb_temp(Таблица1[[#This Row],[temp]],Таблица1[[#This Row],[humidity_ratio]],Таблица1[[#This Row],[pressure_kpa]])</f>
        <v>12.715093315726776</v>
      </c>
      <c r="H328" s="5" cm="1">
        <f t="array" ref="H328">wet_bulb_temp_simple(Таблица1[[#This Row],[temp]],Таблица1[[#This Row],[humidity]])</f>
        <v>12.835377409835264</v>
      </c>
      <c r="I328" s="5">
        <f>IF(Таблица1[[#This Row],[wet_bulb_thermo]]+$F$1&lt;20,20,Таблица1[[#This Row],[wet_bulb_thermo]]+$F$1)</f>
        <v>22.715093315726776</v>
      </c>
      <c r="J328" s="9">
        <f>Таблица1[[#This Row],[Tcold]]+$I$1</f>
        <v>32.715093315726776</v>
      </c>
      <c r="K328" s="12" cm="1">
        <f t="array" ref="K328">evaporation(Таблица1[[#This Row],[Thot]],Таблица1[[#This Row],[Tcold]],Таблица1[[#This Row],[temp]],Таблица1[[#This Row],[humidity_ratio]],Таблица1[[#This Row],[pressure_kpa]])/$I$1</f>
        <v>1.4356855607157979E-3</v>
      </c>
      <c r="L328">
        <f>MONTH(Таблица1[[#This Row],[date]])</f>
        <v>11</v>
      </c>
      <c r="M328" t="str">
        <f>IF(AND(Таблица1[[#This Row],[month]]&gt;3, Таблица1[[#This Row],[month]]&lt;11),"SUMMER","WINTER")</f>
        <v>WINTER</v>
      </c>
    </row>
    <row r="329" spans="1:13" x14ac:dyDescent="0.25">
      <c r="A329" s="2">
        <v>44511</v>
      </c>
      <c r="B329" s="5">
        <v>20.95</v>
      </c>
      <c r="C329" s="5">
        <v>757.41250000000002</v>
      </c>
      <c r="D329" s="5">
        <v>43.625</v>
      </c>
      <c r="E329" s="5">
        <f>Таблица1[[#This Row],[pressure]]/760*101325</f>
        <v>100980.02837171053</v>
      </c>
      <c r="F329" s="7">
        <f>Таблица1[[#This Row],[humidity]]/100</f>
        <v>0.43625000000000003</v>
      </c>
      <c r="G329" s="5" cm="1">
        <f t="array" ref="G329">wet_bulb_temp(Таблица1[[#This Row],[temp]],Таблица1[[#This Row],[humidity_ratio]],Таблица1[[#This Row],[pressure_kpa]])</f>
        <v>13.575644384727532</v>
      </c>
      <c r="H329" s="5" cm="1">
        <f t="array" ref="H329">wet_bulb_temp_simple(Таблица1[[#This Row],[temp]],Таблица1[[#This Row],[humidity]])</f>
        <v>13.619498932634224</v>
      </c>
      <c r="I329" s="5">
        <f>IF(Таблица1[[#This Row],[wet_bulb_thermo]]+$F$1&lt;20,20,Таблица1[[#This Row],[wet_bulb_thermo]]+$F$1)</f>
        <v>23.575644384727532</v>
      </c>
      <c r="J329" s="9">
        <f>Таблица1[[#This Row],[Tcold]]+$I$1</f>
        <v>33.575644384727532</v>
      </c>
      <c r="K329" s="12" cm="1">
        <f t="array" ref="K329">evaporation(Таблица1[[#This Row],[Thot]],Таблица1[[#This Row],[Tcold]],Таблица1[[#This Row],[temp]],Таблица1[[#This Row],[humidity_ratio]],Таблица1[[#This Row],[pressure_kpa]])/$I$1</f>
        <v>1.4156264385627565E-3</v>
      </c>
      <c r="L329">
        <f>MONTH(Таблица1[[#This Row],[date]])</f>
        <v>11</v>
      </c>
      <c r="M329" t="str">
        <f>IF(AND(Таблица1[[#This Row],[month]]&gt;3, Таблица1[[#This Row],[month]]&lt;11),"SUMMER","WINTER")</f>
        <v>WINTER</v>
      </c>
    </row>
    <row r="330" spans="1:13" x14ac:dyDescent="0.25">
      <c r="A330" s="2">
        <v>44512</v>
      </c>
      <c r="B330" s="5">
        <v>22.175000000000001</v>
      </c>
      <c r="C330" s="5">
        <v>758.07500000000005</v>
      </c>
      <c r="D330" s="5">
        <v>53.25</v>
      </c>
      <c r="E330" s="5">
        <f>Таблица1[[#This Row],[pressure]]/760*101325</f>
        <v>101068.35444078948</v>
      </c>
      <c r="F330" s="7">
        <f>Таблица1[[#This Row],[humidity]]/100</f>
        <v>0.53249999999999997</v>
      </c>
      <c r="G330" s="5" cm="1">
        <f t="array" ref="G330">wet_bulb_temp(Таблица1[[#This Row],[temp]],Таблица1[[#This Row],[humidity_ratio]],Таблица1[[#This Row],[pressure_kpa]])</f>
        <v>15.989307309090414</v>
      </c>
      <c r="H330" s="5" cm="1">
        <f t="array" ref="H330">wet_bulb_temp_simple(Таблица1[[#This Row],[temp]],Таблица1[[#This Row],[humidity]])</f>
        <v>16.030220446406087</v>
      </c>
      <c r="I330" s="5">
        <f>IF(Таблица1[[#This Row],[wet_bulb_thermo]]+$F$1&lt;20,20,Таблица1[[#This Row],[wet_bulb_thermo]]+$F$1)</f>
        <v>25.989307309090414</v>
      </c>
      <c r="J330" s="9">
        <f>Таблица1[[#This Row],[Tcold]]+$I$1</f>
        <v>35.989307309090414</v>
      </c>
      <c r="K330" s="12" cm="1">
        <f t="array" ref="K330">evaporation(Таблица1[[#This Row],[Thot]],Таблица1[[#This Row],[Tcold]],Таблица1[[#This Row],[temp]],Таблица1[[#This Row],[humidity_ratio]],Таблица1[[#This Row],[pressure_kpa]])/$I$1</f>
        <v>1.4194358692610884E-3</v>
      </c>
      <c r="L330">
        <f>MONTH(Таблица1[[#This Row],[date]])</f>
        <v>11</v>
      </c>
      <c r="M330" t="str">
        <f>IF(AND(Таблица1[[#This Row],[month]]&gt;3, Таблица1[[#This Row],[month]]&lt;11),"SUMMER","WINTER")</f>
        <v>WINTER</v>
      </c>
    </row>
    <row r="331" spans="1:13" x14ac:dyDescent="0.25">
      <c r="A331" s="2">
        <v>44513</v>
      </c>
      <c r="B331" s="5">
        <v>19.387499999999999</v>
      </c>
      <c r="C331" s="5">
        <v>762.48749999999995</v>
      </c>
      <c r="D331" s="5">
        <v>46.375</v>
      </c>
      <c r="E331" s="5">
        <f>Таблица1[[#This Row],[pressure]]/760*101325</f>
        <v>101656.63939144736</v>
      </c>
      <c r="F331" s="7">
        <f>Таблица1[[#This Row],[humidity]]/100</f>
        <v>0.46375</v>
      </c>
      <c r="G331" s="5" cm="1">
        <f t="array" ref="G331">wet_bulb_temp(Таблица1[[#This Row],[temp]],Таблица1[[#This Row],[humidity_ratio]],Таблица1[[#This Row],[pressure_kpa]])</f>
        <v>12.692153117575309</v>
      </c>
      <c r="H331" s="5" cm="1">
        <f t="array" ref="H331">wet_bulb_temp_simple(Таблица1[[#This Row],[temp]],Таблица1[[#This Row],[humidity]])</f>
        <v>12.692206607517321</v>
      </c>
      <c r="I331" s="5">
        <f>IF(Таблица1[[#This Row],[wet_bulb_thermo]]+$F$1&lt;20,20,Таблица1[[#This Row],[wet_bulb_thermo]]+$F$1)</f>
        <v>22.692153117575309</v>
      </c>
      <c r="J331" s="9">
        <f>Таблица1[[#This Row],[Tcold]]+$I$1</f>
        <v>32.692153117575309</v>
      </c>
      <c r="K331" s="12" cm="1">
        <f t="array" ref="K331">evaporation(Таблица1[[#This Row],[Thot]],Таблица1[[#This Row],[Tcold]],Таблица1[[#This Row],[temp]],Таблица1[[#This Row],[humidity_ratio]],Таблица1[[#This Row],[pressure_kpa]])/$I$1</f>
        <v>1.3883646025128391E-3</v>
      </c>
      <c r="L331">
        <f>MONTH(Таблица1[[#This Row],[date]])</f>
        <v>11</v>
      </c>
      <c r="M331" t="str">
        <f>IF(AND(Таблица1[[#This Row],[month]]&gt;3, Таблица1[[#This Row],[month]]&lt;11),"SUMMER","WINTER")</f>
        <v>WINTER</v>
      </c>
    </row>
    <row r="332" spans="1:13" x14ac:dyDescent="0.25">
      <c r="A332" s="2">
        <v>44514</v>
      </c>
      <c r="B332" s="5">
        <v>20.225000000000001</v>
      </c>
      <c r="C332" s="5">
        <v>761.4</v>
      </c>
      <c r="D332" s="5">
        <v>41.75</v>
      </c>
      <c r="E332" s="5">
        <f>Таблица1[[#This Row],[pressure]]/760*101325</f>
        <v>101511.65131578947</v>
      </c>
      <c r="F332" s="7">
        <f>Таблица1[[#This Row],[humidity]]/100</f>
        <v>0.41749999999999998</v>
      </c>
      <c r="G332" s="5" cm="1">
        <f t="array" ref="G332">wet_bulb_temp(Таблица1[[#This Row],[temp]],Таблица1[[#This Row],[humidity_ratio]],Таблица1[[#This Row],[pressure_kpa]])</f>
        <v>12.701174008385406</v>
      </c>
      <c r="H332" s="5" cm="1">
        <f t="array" ref="H332">wet_bulb_temp_simple(Таблица1[[#This Row],[temp]],Таблица1[[#This Row],[humidity]])</f>
        <v>12.752278222625078</v>
      </c>
      <c r="I332" s="5">
        <f>IF(Таблица1[[#This Row],[wet_bulb_thermo]]+$F$1&lt;20,20,Таблица1[[#This Row],[wet_bulb_thermo]]+$F$1)</f>
        <v>22.701174008385408</v>
      </c>
      <c r="J332" s="9">
        <f>Таблица1[[#This Row],[Tcold]]+$I$1</f>
        <v>32.701174008385408</v>
      </c>
      <c r="K332" s="12" cm="1">
        <f t="array" ref="K332">evaporation(Таблица1[[#This Row],[Thot]],Таблица1[[#This Row],[Tcold]],Таблица1[[#This Row],[temp]],Таблица1[[#This Row],[humidity_ratio]],Таблица1[[#This Row],[pressure_kpa]])/$I$1</f>
        <v>1.407159595176071E-3</v>
      </c>
      <c r="L332">
        <f>MONTH(Таблица1[[#This Row],[date]])</f>
        <v>11</v>
      </c>
      <c r="M332" t="str">
        <f>IF(AND(Таблица1[[#This Row],[month]]&gt;3, Таблица1[[#This Row],[month]]&lt;11),"SUMMER","WINTER")</f>
        <v>WINTER</v>
      </c>
    </row>
    <row r="333" spans="1:13" x14ac:dyDescent="0.25">
      <c r="A333" s="2">
        <v>44515</v>
      </c>
      <c r="B333" s="5">
        <v>18.787500000000001</v>
      </c>
      <c r="C333" s="5">
        <v>759.23749999999995</v>
      </c>
      <c r="D333" s="5">
        <v>45.5</v>
      </c>
      <c r="E333" s="5">
        <f>Таблица1[[#This Row],[pressure]]/760*101325</f>
        <v>101223.34169407895</v>
      </c>
      <c r="F333" s="7">
        <f>Таблица1[[#This Row],[humidity]]/100</f>
        <v>0.45500000000000002</v>
      </c>
      <c r="G333" s="5" cm="1">
        <f t="array" ref="G333">wet_bulb_temp(Таблица1[[#This Row],[temp]],Таблица1[[#This Row],[humidity_ratio]],Таблица1[[#This Row],[pressure_kpa]])</f>
        <v>12.121408820322866</v>
      </c>
      <c r="H333" s="5" cm="1">
        <f t="array" ref="H333">wet_bulb_temp_simple(Таблица1[[#This Row],[temp]],Таблица1[[#This Row],[humidity]])</f>
        <v>12.070817966685054</v>
      </c>
      <c r="I333" s="5">
        <f>IF(Таблица1[[#This Row],[wet_bulb_thermo]]+$F$1&lt;20,20,Таблица1[[#This Row],[wet_bulb_thermo]]+$F$1)</f>
        <v>22.121408820322866</v>
      </c>
      <c r="J333" s="9">
        <f>Таблица1[[#This Row],[Tcold]]+$I$1</f>
        <v>32.12140882032287</v>
      </c>
      <c r="K333" s="12" cm="1">
        <f t="array" ref="K333">evaporation(Таблица1[[#This Row],[Thot]],Таблица1[[#This Row],[Tcold]],Таблица1[[#This Row],[temp]],Таблица1[[#This Row],[humidity_ratio]],Таблица1[[#This Row],[pressure_kpa]])/$I$1</f>
        <v>1.3819294413697112E-3</v>
      </c>
      <c r="L333">
        <f>MONTH(Таблица1[[#This Row],[date]])</f>
        <v>11</v>
      </c>
      <c r="M333" t="str">
        <f>IF(AND(Таблица1[[#This Row],[month]]&gt;3, Таблица1[[#This Row],[month]]&lt;11),"SUMMER","WINTER")</f>
        <v>WINTER</v>
      </c>
    </row>
    <row r="334" spans="1:13" x14ac:dyDescent="0.25">
      <c r="A334" s="2">
        <v>44516</v>
      </c>
      <c r="B334" s="5">
        <v>19.537500000000001</v>
      </c>
      <c r="C334" s="5">
        <v>757.27499999999998</v>
      </c>
      <c r="D334" s="5">
        <v>51.5</v>
      </c>
      <c r="E334" s="5">
        <f>Таблица1[[#This Row],[pressure]]/760*101325</f>
        <v>100961.69654605263</v>
      </c>
      <c r="F334" s="7">
        <f>Таблица1[[#This Row],[humidity]]/100</f>
        <v>0.51500000000000001</v>
      </c>
      <c r="G334" s="5" cm="1">
        <f t="array" ref="G334">wet_bulb_temp(Таблица1[[#This Row],[temp]],Таблица1[[#This Row],[humidity_ratio]],Таблица1[[#This Row],[pressure_kpa]])</f>
        <v>13.565891782552992</v>
      </c>
      <c r="H334" s="5" cm="1">
        <f t="array" ref="H334">wet_bulb_temp_simple(Таблица1[[#This Row],[temp]],Таблица1[[#This Row],[humidity]])</f>
        <v>13.498921194632549</v>
      </c>
      <c r="I334" s="5">
        <f>IF(Таблица1[[#This Row],[wet_bulb_thermo]]+$F$1&lt;20,20,Таблица1[[#This Row],[wet_bulb_thermo]]+$F$1)</f>
        <v>23.565891782552992</v>
      </c>
      <c r="J334" s="9">
        <f>Таблица1[[#This Row],[Tcold]]+$I$1</f>
        <v>33.565891782552995</v>
      </c>
      <c r="K334" s="12" cm="1">
        <f t="array" ref="K334">evaporation(Таблица1[[#This Row],[Thot]],Таблица1[[#This Row],[Tcold]],Таблица1[[#This Row],[temp]],Таблица1[[#This Row],[humidity_ratio]],Таблица1[[#This Row],[pressure_kpa]])/$I$1</f>
        <v>1.3859764743208546E-3</v>
      </c>
      <c r="L334">
        <f>MONTH(Таблица1[[#This Row],[date]])</f>
        <v>11</v>
      </c>
      <c r="M334" t="str">
        <f>IF(AND(Таблица1[[#This Row],[month]]&gt;3, Таблица1[[#This Row],[month]]&lt;11),"SUMMER","WINTER")</f>
        <v>WINTER</v>
      </c>
    </row>
    <row r="335" spans="1:13" x14ac:dyDescent="0.25">
      <c r="A335" s="2">
        <v>44517</v>
      </c>
      <c r="B335" s="5">
        <v>21.125</v>
      </c>
      <c r="C335" s="5">
        <v>758.3125</v>
      </c>
      <c r="D335" s="5">
        <v>51</v>
      </c>
      <c r="E335" s="5">
        <f>Таблица1[[#This Row],[pressure]]/760*101325</f>
        <v>101100.01850328948</v>
      </c>
      <c r="F335" s="7">
        <f>Таблица1[[#This Row],[humidity]]/100</f>
        <v>0.51</v>
      </c>
      <c r="G335" s="5" cm="1">
        <f t="array" ref="G335">wet_bulb_temp(Таблица1[[#This Row],[temp]],Таблица1[[#This Row],[humidity_ratio]],Таблица1[[#This Row],[pressure_kpa]])</f>
        <v>14.79033444867399</v>
      </c>
      <c r="H335" s="5" cm="1">
        <f t="array" ref="H335">wet_bulb_temp_simple(Таблица1[[#This Row],[temp]],Таблица1[[#This Row],[humidity]])</f>
        <v>14.804884255898664</v>
      </c>
      <c r="I335" s="5">
        <f>IF(Таблица1[[#This Row],[wet_bulb_thermo]]+$F$1&lt;20,20,Таблица1[[#This Row],[wet_bulb_thermo]]+$F$1)</f>
        <v>24.790334448673988</v>
      </c>
      <c r="J335" s="9">
        <f>Таблица1[[#This Row],[Tcold]]+$I$1</f>
        <v>34.790334448673988</v>
      </c>
      <c r="K335" s="12" cm="1">
        <f t="array" ref="K335">evaporation(Таблица1[[#This Row],[Thot]],Таблица1[[#This Row],[Tcold]],Таблица1[[#This Row],[temp]],Таблица1[[#This Row],[humidity_ratio]],Таблица1[[#This Row],[pressure_kpa]])/$I$1</f>
        <v>1.408108862957283E-3</v>
      </c>
      <c r="L335">
        <f>MONTH(Таблица1[[#This Row],[date]])</f>
        <v>11</v>
      </c>
      <c r="M335" t="str">
        <f>IF(AND(Таблица1[[#This Row],[month]]&gt;3, Таблица1[[#This Row],[month]]&lt;11),"SUMMER","WINTER")</f>
        <v>WINTER</v>
      </c>
    </row>
    <row r="336" spans="1:13" x14ac:dyDescent="0.25">
      <c r="A336" s="2">
        <v>44518</v>
      </c>
      <c r="B336" s="5">
        <v>22.25</v>
      </c>
      <c r="C336" s="5">
        <v>759.0625</v>
      </c>
      <c r="D336" s="5">
        <v>37.125</v>
      </c>
      <c r="E336" s="5">
        <f>Таблица1[[#This Row],[pressure]]/760*101325</f>
        <v>101200.01027960525</v>
      </c>
      <c r="F336" s="7">
        <f>Таблица1[[#This Row],[humidity]]/100</f>
        <v>0.37125000000000002</v>
      </c>
      <c r="G336" s="5" cm="1">
        <f t="array" ref="G336">wet_bulb_temp(Таблица1[[#This Row],[temp]],Таблица1[[#This Row],[humidity_ratio]],Таблица1[[#This Row],[pressure_kpa]])</f>
        <v>13.55256631361514</v>
      </c>
      <c r="H336" s="5" cm="1">
        <f t="array" ref="H336">wet_bulb_temp_simple(Таблица1[[#This Row],[temp]],Таблица1[[#This Row],[humidity]])</f>
        <v>13.697478704763403</v>
      </c>
      <c r="I336" s="5">
        <f>IF(Таблица1[[#This Row],[wet_bulb_thermo]]+$F$1&lt;20,20,Таблица1[[#This Row],[wet_bulb_thermo]]+$F$1)</f>
        <v>23.552566313615138</v>
      </c>
      <c r="J336" s="9">
        <f>Таблица1[[#This Row],[Tcold]]+$I$1</f>
        <v>33.552566313615138</v>
      </c>
      <c r="K336" s="12" cm="1">
        <f t="array" ref="K336">evaporation(Таблица1[[#This Row],[Thot]],Таблица1[[#This Row],[Tcold]],Таблица1[[#This Row],[temp]],Таблица1[[#This Row],[humidity_ratio]],Таблица1[[#This Row],[pressure_kpa]])/$I$1</f>
        <v>1.4427314100713695E-3</v>
      </c>
      <c r="L336">
        <f>MONTH(Таблица1[[#This Row],[date]])</f>
        <v>11</v>
      </c>
      <c r="M336" t="str">
        <f>IF(AND(Таблица1[[#This Row],[month]]&gt;3, Таблица1[[#This Row],[month]]&lt;11),"SUMMER","WINTER")</f>
        <v>WINTER</v>
      </c>
    </row>
    <row r="337" spans="1:13" x14ac:dyDescent="0.25">
      <c r="A337" s="2">
        <v>44519</v>
      </c>
      <c r="B337" s="5">
        <v>20.737500000000001</v>
      </c>
      <c r="C337" s="5">
        <v>757.78750000000002</v>
      </c>
      <c r="D337" s="5">
        <v>38.75</v>
      </c>
      <c r="E337" s="5">
        <f>Таблица1[[#This Row],[pressure]]/760*101325</f>
        <v>101030.02425986843</v>
      </c>
      <c r="F337" s="7">
        <f>Таблица1[[#This Row],[humidity]]/100</f>
        <v>0.38750000000000001</v>
      </c>
      <c r="G337" s="5" cm="1">
        <f t="array" ref="G337">wet_bulb_temp(Таблица1[[#This Row],[temp]],Таблица1[[#This Row],[humidity_ratio]],Таблица1[[#This Row],[pressure_kpa]])</f>
        <v>12.676368527816516</v>
      </c>
      <c r="H337" s="5" cm="1">
        <f t="array" ref="H337">wet_bulb_temp_simple(Таблица1[[#This Row],[temp]],Таблица1[[#This Row],[humidity]])</f>
        <v>12.733932715694717</v>
      </c>
      <c r="I337" s="5">
        <f>IF(Таблица1[[#This Row],[wet_bulb_thermo]]+$F$1&lt;20,20,Таблица1[[#This Row],[wet_bulb_thermo]]+$F$1)</f>
        <v>22.676368527816514</v>
      </c>
      <c r="J337" s="9">
        <f>Таблица1[[#This Row],[Tcold]]+$I$1</f>
        <v>32.676368527816514</v>
      </c>
      <c r="K337" s="12" cm="1">
        <f t="array" ref="K337">evaporation(Таблица1[[#This Row],[Thot]],Таблица1[[#This Row],[Tcold]],Таблица1[[#This Row],[temp]],Таблица1[[#This Row],[humidity_ratio]],Таблица1[[#This Row],[pressure_kpa]])/$I$1</f>
        <v>1.4200666152162024E-3</v>
      </c>
      <c r="L337">
        <f>MONTH(Таблица1[[#This Row],[date]])</f>
        <v>11</v>
      </c>
      <c r="M337" t="str">
        <f>IF(AND(Таблица1[[#This Row],[month]]&gt;3, Таблица1[[#This Row],[month]]&lt;11),"SUMMER","WINTER")</f>
        <v>WINTER</v>
      </c>
    </row>
    <row r="338" spans="1:13" x14ac:dyDescent="0.25">
      <c r="A338" s="2">
        <v>44520</v>
      </c>
      <c r="B338" s="5">
        <v>19.149999999999999</v>
      </c>
      <c r="C338" s="5">
        <v>756.4</v>
      </c>
      <c r="D338" s="5">
        <v>47.75</v>
      </c>
      <c r="E338" s="5">
        <f>Таблица1[[#This Row],[pressure]]/760*101325</f>
        <v>100845.03947368421</v>
      </c>
      <c r="F338" s="7">
        <f>Таблица1[[#This Row],[humidity]]/100</f>
        <v>0.47749999999999998</v>
      </c>
      <c r="G338" s="5" cm="1">
        <f t="array" ref="G338">wet_bulb_temp(Таблица1[[#This Row],[temp]],Таблица1[[#This Row],[humidity_ratio]],Таблица1[[#This Row],[pressure_kpa]])</f>
        <v>12.743693842289062</v>
      </c>
      <c r="H338" s="5" cm="1">
        <f t="array" ref="H338">wet_bulb_temp_simple(Таблица1[[#This Row],[temp]],Таблица1[[#This Row],[humidity]])</f>
        <v>12.673686555964208</v>
      </c>
      <c r="I338" s="5">
        <f>IF(Таблица1[[#This Row],[wet_bulb_thermo]]+$F$1&lt;20,20,Таблица1[[#This Row],[wet_bulb_thermo]]+$F$1)</f>
        <v>22.743693842289062</v>
      </c>
      <c r="J338" s="9">
        <f>Таблица1[[#This Row],[Tcold]]+$I$1</f>
        <v>32.743693842289062</v>
      </c>
      <c r="K338" s="12" cm="1">
        <f t="array" ref="K338">evaporation(Таблица1[[#This Row],[Thot]],Таблица1[[#This Row],[Tcold]],Таблица1[[#This Row],[temp]],Таблица1[[#This Row],[humidity_ratio]],Таблица1[[#This Row],[pressure_kpa]])/$I$1</f>
        <v>1.3852550500625617E-3</v>
      </c>
      <c r="L338">
        <f>MONTH(Таблица1[[#This Row],[date]])</f>
        <v>11</v>
      </c>
      <c r="M338" t="str">
        <f>IF(AND(Таблица1[[#This Row],[month]]&gt;3, Таблица1[[#This Row],[month]]&lt;11),"SUMMER","WINTER")</f>
        <v>WINTER</v>
      </c>
    </row>
    <row r="339" spans="1:13" x14ac:dyDescent="0.25">
      <c r="A339" s="2">
        <v>44521</v>
      </c>
      <c r="B339" s="5">
        <v>23.712499999999999</v>
      </c>
      <c r="C339" s="5">
        <v>756.48749999999995</v>
      </c>
      <c r="D339" s="5">
        <v>54.875</v>
      </c>
      <c r="E339" s="5">
        <f>Таблица1[[#This Row],[pressure]]/760*101325</f>
        <v>100856.70518092104</v>
      </c>
      <c r="F339" s="7">
        <f>Таблица1[[#This Row],[humidity]]/100</f>
        <v>0.54874999999999996</v>
      </c>
      <c r="G339" s="5" cm="1">
        <f t="array" ref="G339">wet_bulb_temp(Таблица1[[#This Row],[temp]],Таблица1[[#This Row],[humidity_ratio]],Таблица1[[#This Row],[pressure_kpa]])</f>
        <v>17.537503080365685</v>
      </c>
      <c r="H339" s="5" cm="1">
        <f t="array" ref="H339">wet_bulb_temp_simple(Таблица1[[#This Row],[temp]],Таблица1[[#This Row],[humidity]])</f>
        <v>17.609970026484909</v>
      </c>
      <c r="I339" s="5">
        <f>IF(Таблица1[[#This Row],[wet_bulb_thermo]]+$F$1&lt;20,20,Таблица1[[#This Row],[wet_bulb_thermo]]+$F$1)</f>
        <v>27.537503080365685</v>
      </c>
      <c r="J339" s="9">
        <f>Таблица1[[#This Row],[Tcold]]+$I$1</f>
        <v>37.537503080365681</v>
      </c>
      <c r="K339" s="12" cm="1">
        <f t="array" ref="K339">evaporation(Таблица1[[#This Row],[Thot]],Таблица1[[#This Row],[Tcold]],Таблица1[[#This Row],[temp]],Таблица1[[#This Row],[humidity_ratio]],Таблица1[[#This Row],[pressure_kpa]])/$I$1</f>
        <v>1.4374439544697279E-3</v>
      </c>
      <c r="L339">
        <f>MONTH(Таблица1[[#This Row],[date]])</f>
        <v>11</v>
      </c>
      <c r="M339" t="str">
        <f>IF(AND(Таблица1[[#This Row],[month]]&gt;3, Таблица1[[#This Row],[month]]&lt;11),"SUMMER","WINTER")</f>
        <v>WINTER</v>
      </c>
    </row>
    <row r="340" spans="1:13" x14ac:dyDescent="0.25">
      <c r="A340" s="2">
        <v>44522</v>
      </c>
      <c r="B340" s="5">
        <v>20.6</v>
      </c>
      <c r="C340" s="5">
        <v>760.7</v>
      </c>
      <c r="D340" s="5">
        <v>75.125</v>
      </c>
      <c r="E340" s="5">
        <f>Таблица1[[#This Row],[pressure]]/760*101325</f>
        <v>101418.32565789475</v>
      </c>
      <c r="F340" s="7">
        <f>Таблица1[[#This Row],[humidity]]/100</f>
        <v>0.75124999999999997</v>
      </c>
      <c r="G340" s="5" cm="1">
        <f t="array" ref="G340">wet_bulb_temp(Таблица1[[#This Row],[temp]],Таблица1[[#This Row],[humidity_ratio]],Таблица1[[#This Row],[pressure_kpa]])</f>
        <v>17.575141462538305</v>
      </c>
      <c r="H340" s="5" cm="1">
        <f t="array" ref="H340">wet_bulb_temp_simple(Таблица1[[#This Row],[temp]],Таблица1[[#This Row],[humidity]])</f>
        <v>17.490051068084377</v>
      </c>
      <c r="I340" s="5">
        <f>IF(Таблица1[[#This Row],[wet_bulb_thermo]]+$F$1&lt;20,20,Таблица1[[#This Row],[wet_bulb_thermo]]+$F$1)</f>
        <v>27.575141462538305</v>
      </c>
      <c r="J340" s="9">
        <f>Таблица1[[#This Row],[Tcold]]+$I$1</f>
        <v>37.575141462538305</v>
      </c>
      <c r="K340" s="12" cm="1">
        <f t="array" ref="K340">evaporation(Таблица1[[#This Row],[Thot]],Таблица1[[#This Row],[Tcold]],Таблица1[[#This Row],[temp]],Таблица1[[#This Row],[humidity_ratio]],Таблица1[[#This Row],[pressure_kpa]])/$I$1</f>
        <v>1.3799467370750743E-3</v>
      </c>
      <c r="L340">
        <f>MONTH(Таблица1[[#This Row],[date]])</f>
        <v>11</v>
      </c>
      <c r="M340" t="str">
        <f>IF(AND(Таблица1[[#This Row],[month]]&gt;3, Таблица1[[#This Row],[month]]&lt;11),"SUMMER","WINTER")</f>
        <v>WINTER</v>
      </c>
    </row>
    <row r="341" spans="1:13" x14ac:dyDescent="0.25">
      <c r="A341" s="2">
        <v>44523</v>
      </c>
      <c r="B341" s="5">
        <v>20.975000000000001</v>
      </c>
      <c r="C341" s="5">
        <v>761.13750000000005</v>
      </c>
      <c r="D341" s="5">
        <v>60.125</v>
      </c>
      <c r="E341" s="5">
        <f>Таблица1[[#This Row],[pressure]]/760*101325</f>
        <v>101476.65419407896</v>
      </c>
      <c r="F341" s="7">
        <f>Таблица1[[#This Row],[humidity]]/100</f>
        <v>0.60124999999999995</v>
      </c>
      <c r="G341" s="5" cm="1">
        <f t="array" ref="G341">wet_bulb_temp(Таблица1[[#This Row],[temp]],Таблица1[[#This Row],[humidity_ratio]],Таблица1[[#This Row],[pressure_kpa]])</f>
        <v>15.921305013892031</v>
      </c>
      <c r="H341" s="5" cm="1">
        <f t="array" ref="H341">wet_bulb_temp_simple(Таблица1[[#This Row],[temp]],Таблица1[[#This Row],[humidity]])</f>
        <v>15.902397607888803</v>
      </c>
      <c r="I341" s="5">
        <f>IF(Таблица1[[#This Row],[wet_bulb_thermo]]+$F$1&lt;20,20,Таблица1[[#This Row],[wet_bulb_thermo]]+$F$1)</f>
        <v>25.921305013892031</v>
      </c>
      <c r="J341" s="9">
        <f>Таблица1[[#This Row],[Tcold]]+$I$1</f>
        <v>35.921305013892031</v>
      </c>
      <c r="K341" s="12" cm="1">
        <f t="array" ref="K341">evaporation(Таблица1[[#This Row],[Thot]],Таблица1[[#This Row],[Tcold]],Таблица1[[#This Row],[temp]],Таблица1[[#This Row],[humidity_ratio]],Таблица1[[#This Row],[pressure_kpa]])/$I$1</f>
        <v>1.3956652689639313E-3</v>
      </c>
      <c r="L341">
        <f>MONTH(Таблица1[[#This Row],[date]])</f>
        <v>11</v>
      </c>
      <c r="M341" t="str">
        <f>IF(AND(Таблица1[[#This Row],[month]]&gt;3, Таблица1[[#This Row],[month]]&lt;11),"SUMMER","WINTER")</f>
        <v>WINTER</v>
      </c>
    </row>
    <row r="342" spans="1:13" x14ac:dyDescent="0.25">
      <c r="A342" s="2">
        <v>44524</v>
      </c>
      <c r="B342" s="5">
        <v>19.487500000000001</v>
      </c>
      <c r="C342" s="5">
        <v>760.82500000000005</v>
      </c>
      <c r="D342" s="5">
        <v>50.125</v>
      </c>
      <c r="E342" s="5">
        <f>Таблица1[[#This Row],[pressure]]/760*101325</f>
        <v>101434.99095394739</v>
      </c>
      <c r="F342" s="7">
        <f>Таблица1[[#This Row],[humidity]]/100</f>
        <v>0.50124999999999997</v>
      </c>
      <c r="G342" s="5" cm="1">
        <f t="array" ref="G342">wet_bulb_temp(Таблица1[[#This Row],[temp]],Таблица1[[#This Row],[humidity_ratio]],Таблица1[[#This Row],[pressure_kpa]])</f>
        <v>13.304057542266687</v>
      </c>
      <c r="H342" s="5" cm="1">
        <f t="array" ref="H342">wet_bulb_temp_simple(Таблица1[[#This Row],[temp]],Таблица1[[#This Row],[humidity]])</f>
        <v>13.27516977502297</v>
      </c>
      <c r="I342" s="5">
        <f>IF(Таблица1[[#This Row],[wet_bulb_thermo]]+$F$1&lt;20,20,Таблица1[[#This Row],[wet_bulb_thermo]]+$F$1)</f>
        <v>23.304057542266687</v>
      </c>
      <c r="J342" s="9">
        <f>Таблица1[[#This Row],[Tcold]]+$I$1</f>
        <v>33.30405754226669</v>
      </c>
      <c r="K342" s="12" cm="1">
        <f t="array" ref="K342">evaporation(Таблица1[[#This Row],[Thot]],Таблица1[[#This Row],[Tcold]],Таблица1[[#This Row],[temp]],Таблица1[[#This Row],[humidity_ratio]],Таблица1[[#This Row],[pressure_kpa]])/$I$1</f>
        <v>1.3856243099390642E-3</v>
      </c>
      <c r="L342">
        <f>MONTH(Таблица1[[#This Row],[date]])</f>
        <v>11</v>
      </c>
      <c r="M342" t="str">
        <f>IF(AND(Таблица1[[#This Row],[month]]&gt;3, Таблица1[[#This Row],[month]]&lt;11),"SUMMER","WINTER")</f>
        <v>WINTER</v>
      </c>
    </row>
    <row r="343" spans="1:13" x14ac:dyDescent="0.25">
      <c r="A343" s="2">
        <v>44525</v>
      </c>
      <c r="B343" s="5">
        <v>19.137499999999999</v>
      </c>
      <c r="C343" s="5">
        <v>761.01250000000005</v>
      </c>
      <c r="D343" s="5">
        <v>44.375</v>
      </c>
      <c r="E343" s="5">
        <f>Таблица1[[#This Row],[pressure]]/760*101325</f>
        <v>101459.98889802632</v>
      </c>
      <c r="F343" s="7">
        <f>Таблица1[[#This Row],[humidity]]/100</f>
        <v>0.44374999999999998</v>
      </c>
      <c r="G343" s="5" cm="1">
        <f t="array" ref="G343">wet_bulb_temp(Таблица1[[#This Row],[temp]],Таблица1[[#This Row],[humidity_ratio]],Таблица1[[#This Row],[pressure_kpa]])</f>
        <v>12.228824605578152</v>
      </c>
      <c r="H343" s="5" cm="1">
        <f t="array" ref="H343">wet_bulb_temp_simple(Таблица1[[#This Row],[temp]],Таблица1[[#This Row],[humidity]])</f>
        <v>12.214163275485886</v>
      </c>
      <c r="I343" s="5">
        <f>IF(Таблица1[[#This Row],[wet_bulb_thermo]]+$F$1&lt;20,20,Таблица1[[#This Row],[wet_bulb_thermo]]+$F$1)</f>
        <v>22.228824605578154</v>
      </c>
      <c r="J343" s="9">
        <f>Таблица1[[#This Row],[Tcold]]+$I$1</f>
        <v>32.228824605578154</v>
      </c>
      <c r="K343" s="12" cm="1">
        <f t="array" ref="K343">evaporation(Таблица1[[#This Row],[Thot]],Таблица1[[#This Row],[Tcold]],Таблица1[[#This Row],[temp]],Таблица1[[#This Row],[humidity_ratio]],Таблица1[[#This Row],[pressure_kpa]])/$I$1</f>
        <v>1.387969804551569E-3</v>
      </c>
      <c r="L343">
        <f>MONTH(Таблица1[[#This Row],[date]])</f>
        <v>11</v>
      </c>
      <c r="M343" t="str">
        <f>IF(AND(Таблица1[[#This Row],[month]]&gt;3, Таблица1[[#This Row],[month]]&lt;11),"SUMMER","WINTER")</f>
        <v>WINTER</v>
      </c>
    </row>
    <row r="344" spans="1:13" x14ac:dyDescent="0.25">
      <c r="A344" s="2">
        <v>44526</v>
      </c>
      <c r="B344" s="5">
        <v>19.5625</v>
      </c>
      <c r="C344" s="5">
        <v>761.0625</v>
      </c>
      <c r="D344" s="5">
        <v>54.375</v>
      </c>
      <c r="E344" s="5">
        <f>Таблица1[[#This Row],[pressure]]/760*101325</f>
        <v>101466.65501644737</v>
      </c>
      <c r="F344" s="7">
        <f>Таблица1[[#This Row],[humidity]]/100</f>
        <v>0.54374999999999996</v>
      </c>
      <c r="G344" s="5" cm="1">
        <f t="array" ref="G344">wet_bulb_temp(Таблица1[[#This Row],[temp]],Таблица1[[#This Row],[humidity_ratio]],Таблица1[[#This Row],[pressure_kpa]])</f>
        <v>13.941276026641461</v>
      </c>
      <c r="H344" s="5" cm="1">
        <f t="array" ref="H344">wet_bulb_temp_simple(Таблица1[[#This Row],[temp]],Таблица1[[#This Row],[humidity]])</f>
        <v>13.895217171956622</v>
      </c>
      <c r="I344" s="5">
        <f>IF(Таблица1[[#This Row],[wet_bulb_thermo]]+$F$1&lt;20,20,Таблица1[[#This Row],[wet_bulb_thermo]]+$F$1)</f>
        <v>23.941276026641461</v>
      </c>
      <c r="J344" s="9">
        <f>Таблица1[[#This Row],[Tcold]]+$I$1</f>
        <v>33.941276026641461</v>
      </c>
      <c r="K344" s="12" cm="1">
        <f t="array" ref="K344">evaporation(Таблица1[[#This Row],[Thot]],Таблица1[[#This Row],[Tcold]],Таблица1[[#This Row],[temp]],Таблица1[[#This Row],[humidity_ratio]],Таблица1[[#This Row],[pressure_kpa]])/$I$1</f>
        <v>1.3817773756679989E-3</v>
      </c>
      <c r="L344">
        <f>MONTH(Таблица1[[#This Row],[date]])</f>
        <v>11</v>
      </c>
      <c r="M344" t="str">
        <f>IF(AND(Таблица1[[#This Row],[month]]&gt;3, Таблица1[[#This Row],[month]]&lt;11),"SUMMER","WINTER")</f>
        <v>WINTER</v>
      </c>
    </row>
    <row r="345" spans="1:13" x14ac:dyDescent="0.25">
      <c r="A345" s="2">
        <v>44527</v>
      </c>
      <c r="B345" s="5">
        <v>20.962499999999999</v>
      </c>
      <c r="C345" s="5">
        <v>760.97500000000002</v>
      </c>
      <c r="D345" s="5">
        <v>49.5</v>
      </c>
      <c r="E345" s="5">
        <f>Таблица1[[#This Row],[pressure]]/760*101325</f>
        <v>101454.98930921053</v>
      </c>
      <c r="F345" s="7">
        <f>Таблица1[[#This Row],[humidity]]/100</f>
        <v>0.495</v>
      </c>
      <c r="G345" s="5" cm="1">
        <f t="array" ref="G345">wet_bulb_temp(Таблица1[[#This Row],[temp]],Таблица1[[#This Row],[humidity_ratio]],Таблица1[[#This Row],[pressure_kpa]])</f>
        <v>14.41545162985644</v>
      </c>
      <c r="H345" s="5" cm="1">
        <f t="array" ref="H345">wet_bulb_temp_simple(Таблица1[[#This Row],[temp]],Таблица1[[#This Row],[humidity]])</f>
        <v>14.457781378967045</v>
      </c>
      <c r="I345" s="5">
        <f>IF(Таблица1[[#This Row],[wet_bulb_thermo]]+$F$1&lt;20,20,Таблица1[[#This Row],[wet_bulb_thermo]]+$F$1)</f>
        <v>24.415451629856442</v>
      </c>
      <c r="J345" s="9">
        <f>Таблица1[[#This Row],[Tcold]]+$I$1</f>
        <v>34.415451629856442</v>
      </c>
      <c r="K345" s="12" cm="1">
        <f t="array" ref="K345">evaporation(Таблица1[[#This Row],[Thot]],Таблица1[[#This Row],[Tcold]],Таблица1[[#This Row],[temp]],Таблица1[[#This Row],[humidity_ratio]],Таблица1[[#This Row],[pressure_kpa]])/$I$1</f>
        <v>1.40684287209144E-3</v>
      </c>
      <c r="L345">
        <f>MONTH(Таблица1[[#This Row],[date]])</f>
        <v>11</v>
      </c>
      <c r="M345" t="str">
        <f>IF(AND(Таблица1[[#This Row],[month]]&gt;3, Таблица1[[#This Row],[month]]&lt;11),"SUMMER","WINTER")</f>
        <v>WINTER</v>
      </c>
    </row>
    <row r="346" spans="1:13" x14ac:dyDescent="0.25">
      <c r="A346" s="2">
        <v>44528</v>
      </c>
      <c r="B346" s="5">
        <v>19.337499999999999</v>
      </c>
      <c r="C346" s="5">
        <v>760.77499999999998</v>
      </c>
      <c r="D346" s="5">
        <v>46.875</v>
      </c>
      <c r="E346" s="5">
        <f>Таблица1[[#This Row],[pressure]]/760*101325</f>
        <v>101428.32483552631</v>
      </c>
      <c r="F346" s="7">
        <f>Таблица1[[#This Row],[humidity]]/100</f>
        <v>0.46875</v>
      </c>
      <c r="G346" s="5" cm="1">
        <f t="array" ref="G346">wet_bulb_temp(Таблица1[[#This Row],[temp]],Таблица1[[#This Row],[humidity_ratio]],Таблица1[[#This Row],[pressure_kpa]])</f>
        <v>12.735958480519807</v>
      </c>
      <c r="H346" s="5" cm="1">
        <f t="array" ref="H346">wet_bulb_temp_simple(Таблица1[[#This Row],[temp]],Таблица1[[#This Row],[humidity]])</f>
        <v>12.716742544973908</v>
      </c>
      <c r="I346" s="5">
        <f>IF(Таблица1[[#This Row],[wet_bulb_thermo]]+$F$1&lt;20,20,Таблица1[[#This Row],[wet_bulb_thermo]]+$F$1)</f>
        <v>22.735958480519805</v>
      </c>
      <c r="J346" s="9">
        <f>Таблица1[[#This Row],[Tcold]]+$I$1</f>
        <v>32.735958480519805</v>
      </c>
      <c r="K346" s="12" cm="1">
        <f t="array" ref="K346">evaporation(Таблица1[[#This Row],[Thot]],Таблица1[[#This Row],[Tcold]],Таблица1[[#This Row],[temp]],Таблица1[[#This Row],[humidity_ratio]],Таблица1[[#This Row],[pressure_kpa]])/$I$1</f>
        <v>1.3875684209111922E-3</v>
      </c>
      <c r="L346">
        <f>MONTH(Таблица1[[#This Row],[date]])</f>
        <v>11</v>
      </c>
      <c r="M346" t="str">
        <f>IF(AND(Таблица1[[#This Row],[month]]&gt;3, Таблица1[[#This Row],[month]]&lt;11),"SUMMER","WINTER")</f>
        <v>WINTER</v>
      </c>
    </row>
    <row r="347" spans="1:13" x14ac:dyDescent="0.25">
      <c r="A347" s="2">
        <v>44529</v>
      </c>
      <c r="B347" s="5">
        <v>19.962499999999999</v>
      </c>
      <c r="C347" s="5">
        <v>760.26250000000005</v>
      </c>
      <c r="D347" s="5">
        <v>45.75</v>
      </c>
      <c r="E347" s="5">
        <f>Таблица1[[#This Row],[pressure]]/760*101325</f>
        <v>101359.99712171053</v>
      </c>
      <c r="F347" s="7">
        <f>Таблица1[[#This Row],[humidity]]/100</f>
        <v>0.45750000000000002</v>
      </c>
      <c r="G347" s="5" cm="1">
        <f t="array" ref="G347">wet_bulb_temp(Таблица1[[#This Row],[temp]],Таблица1[[#This Row],[humidity_ratio]],Таблица1[[#This Row],[pressure_kpa]])</f>
        <v>13.080902346964658</v>
      </c>
      <c r="H347" s="5" cm="1">
        <f t="array" ref="H347">wet_bulb_temp_simple(Таблица1[[#This Row],[temp]],Таблица1[[#This Row],[humidity]])</f>
        <v>13.091978415450853</v>
      </c>
      <c r="I347" s="5">
        <f>IF(Таблица1[[#This Row],[wet_bulb_thermo]]+$F$1&lt;20,20,Таблица1[[#This Row],[wet_bulb_thermo]]+$F$1)</f>
        <v>23.080902346964656</v>
      </c>
      <c r="J347" s="9">
        <f>Таблица1[[#This Row],[Tcold]]+$I$1</f>
        <v>33.080902346964656</v>
      </c>
      <c r="K347" s="12" cm="1">
        <f t="array" ref="K347">evaporation(Таблица1[[#This Row],[Thot]],Таблица1[[#This Row],[Tcold]],Таблица1[[#This Row],[temp]],Таблица1[[#This Row],[humidity_ratio]],Таблица1[[#This Row],[pressure_kpa]])/$I$1</f>
        <v>1.3981254576397244E-3</v>
      </c>
      <c r="L347">
        <f>MONTH(Таблица1[[#This Row],[date]])</f>
        <v>11</v>
      </c>
      <c r="M347" t="str">
        <f>IF(AND(Таблица1[[#This Row],[month]]&gt;3, Таблица1[[#This Row],[month]]&lt;11),"SUMMER","WINTER")</f>
        <v>WINTER</v>
      </c>
    </row>
    <row r="348" spans="1:13" x14ac:dyDescent="0.25">
      <c r="A348" s="2">
        <v>44530</v>
      </c>
      <c r="B348" s="5">
        <v>19.412500000000001</v>
      </c>
      <c r="C348" s="5">
        <v>759.83749999999998</v>
      </c>
      <c r="D348" s="5">
        <v>49.75</v>
      </c>
      <c r="E348" s="5">
        <f>Таблица1[[#This Row],[pressure]]/760*101325</f>
        <v>101303.33511513159</v>
      </c>
      <c r="F348" s="7">
        <f>Таблица1[[#This Row],[humidity]]/100</f>
        <v>0.4975</v>
      </c>
      <c r="G348" s="5" cm="1">
        <f t="array" ref="G348">wet_bulb_temp(Таблица1[[#This Row],[temp]],Таблица1[[#This Row],[humidity_ratio]],Таблица1[[#This Row],[pressure_kpa]])</f>
        <v>13.200451292932659</v>
      </c>
      <c r="H348" s="5" cm="1">
        <f t="array" ref="H348">wet_bulb_temp_simple(Таблица1[[#This Row],[temp]],Таблица1[[#This Row],[humidity]])</f>
        <v>13.161346388230793</v>
      </c>
      <c r="I348" s="5">
        <f>IF(Таблица1[[#This Row],[wet_bulb_thermo]]+$F$1&lt;20,20,Таблица1[[#This Row],[wet_bulb_thermo]]+$F$1)</f>
        <v>23.200451292932659</v>
      </c>
      <c r="J348" s="9">
        <f>Таблица1[[#This Row],[Tcold]]+$I$1</f>
        <v>33.200451292932655</v>
      </c>
      <c r="K348" s="12" cm="1">
        <f t="array" ref="K348">evaporation(Таблица1[[#This Row],[Thot]],Таблица1[[#This Row],[Tcold]],Таблица1[[#This Row],[temp]],Таблица1[[#This Row],[humidity_ratio]],Таблица1[[#This Row],[pressure_kpa]])/$I$1</f>
        <v>1.3853512551574678E-3</v>
      </c>
      <c r="L348">
        <f>MONTH(Таблица1[[#This Row],[date]])</f>
        <v>11</v>
      </c>
      <c r="M348" t="str">
        <f>IF(AND(Таблица1[[#This Row],[month]]&gt;3, Таблица1[[#This Row],[month]]&lt;11),"SUMMER","WINTER")</f>
        <v>WINTER</v>
      </c>
    </row>
    <row r="349" spans="1:13" x14ac:dyDescent="0.25">
      <c r="A349" s="2">
        <v>44531</v>
      </c>
      <c r="B349" s="5">
        <v>19.524999999999999</v>
      </c>
      <c r="C349" s="5">
        <v>759.46249999999998</v>
      </c>
      <c r="D349" s="5">
        <v>57.625</v>
      </c>
      <c r="E349" s="5">
        <f>Таблица1[[#This Row],[pressure]]/760*101325</f>
        <v>101253.33922697368</v>
      </c>
      <c r="F349" s="7">
        <f>Таблица1[[#This Row],[humidity]]/100</f>
        <v>0.57625000000000004</v>
      </c>
      <c r="G349" s="5" cm="1">
        <f t="array" ref="G349">wet_bulb_temp(Таблица1[[#This Row],[temp]],Таблица1[[#This Row],[humidity_ratio]],Таблица1[[#This Row],[pressure_kpa]])</f>
        <v>14.360441960090036</v>
      </c>
      <c r="H349" s="5" cm="1">
        <f t="array" ref="H349">wet_bulb_temp_simple(Таблица1[[#This Row],[temp]],Таблица1[[#This Row],[humidity]])</f>
        <v>14.280315574470519</v>
      </c>
      <c r="I349" s="5">
        <f>IF(Таблица1[[#This Row],[wet_bulb_thermo]]+$F$1&lt;20,20,Таблица1[[#This Row],[wet_bulb_thermo]]+$F$1)</f>
        <v>24.360441960090036</v>
      </c>
      <c r="J349" s="9">
        <f>Таблица1[[#This Row],[Tcold]]+$I$1</f>
        <v>34.360441960090036</v>
      </c>
      <c r="K349" s="12" cm="1">
        <f t="array" ref="K349">evaporation(Таблица1[[#This Row],[Thot]],Таблица1[[#This Row],[Tcold]],Таблица1[[#This Row],[temp]],Таблица1[[#This Row],[humidity_ratio]],Таблица1[[#This Row],[pressure_kpa]])/$I$1</f>
        <v>1.3785128619042751E-3</v>
      </c>
      <c r="L349">
        <f>MONTH(Таблица1[[#This Row],[date]])</f>
        <v>12</v>
      </c>
      <c r="M349" t="str">
        <f>IF(AND(Таблица1[[#This Row],[month]]&gt;3, Таблица1[[#This Row],[month]]&lt;11),"SUMMER","WINTER")</f>
        <v>WINTER</v>
      </c>
    </row>
    <row r="350" spans="1:13" x14ac:dyDescent="0.25">
      <c r="A350" s="2">
        <v>44532</v>
      </c>
      <c r="B350" s="5">
        <v>21.5</v>
      </c>
      <c r="C350" s="5">
        <v>757.86249999999995</v>
      </c>
      <c r="D350" s="5">
        <v>59.75</v>
      </c>
      <c r="E350" s="5">
        <f>Таблица1[[#This Row],[pressure]]/760*101325</f>
        <v>101040.02343749999</v>
      </c>
      <c r="F350" s="7">
        <f>Таблица1[[#This Row],[humidity]]/100</f>
        <v>0.59750000000000003</v>
      </c>
      <c r="G350" s="5" cm="1">
        <f t="array" ref="G350">wet_bulb_temp(Таблица1[[#This Row],[temp]],Таблица1[[#This Row],[humidity_ratio]],Таблица1[[#This Row],[pressure_kpa]])</f>
        <v>16.357025608677127</v>
      </c>
      <c r="H350" s="5" cm="1">
        <f t="array" ref="H350">wet_bulb_temp_simple(Таблица1[[#This Row],[temp]],Таблица1[[#This Row],[humidity]])</f>
        <v>16.324129926275941</v>
      </c>
      <c r="I350" s="5">
        <f>IF(Таблица1[[#This Row],[wet_bulb_thermo]]+$F$1&lt;20,20,Таблица1[[#This Row],[wet_bulb_thermo]]+$F$1)</f>
        <v>26.357025608677127</v>
      </c>
      <c r="J350" s="9">
        <f>Таблица1[[#This Row],[Tcold]]+$I$1</f>
        <v>36.357025608677127</v>
      </c>
      <c r="K350" s="12" cm="1">
        <f t="array" ref="K350">evaporation(Таблица1[[#This Row],[Thot]],Таблица1[[#This Row],[Tcold]],Таблица1[[#This Row],[temp]],Таблица1[[#This Row],[humidity_ratio]],Таблица1[[#This Row],[pressure_kpa]])/$I$1</f>
        <v>1.4042212495663112E-3</v>
      </c>
      <c r="L350">
        <f>MONTH(Таблица1[[#This Row],[date]])</f>
        <v>12</v>
      </c>
      <c r="M350" t="str">
        <f>IF(AND(Таблица1[[#This Row],[month]]&gt;3, Таблица1[[#This Row],[month]]&lt;11),"SUMMER","WINTER")</f>
        <v>WINTER</v>
      </c>
    </row>
    <row r="351" spans="1:13" x14ac:dyDescent="0.25">
      <c r="A351" s="2">
        <v>44533</v>
      </c>
      <c r="B351" s="5">
        <v>16.512499999999999</v>
      </c>
      <c r="C351" s="5">
        <v>761.73749999999995</v>
      </c>
      <c r="D351" s="5">
        <v>50.875</v>
      </c>
      <c r="E351" s="5">
        <f>Таблица1[[#This Row],[pressure]]/760*101325</f>
        <v>101556.64761513156</v>
      </c>
      <c r="F351" s="7">
        <f>Таблица1[[#This Row],[humidity]]/100</f>
        <v>0.50875000000000004</v>
      </c>
      <c r="G351" s="5" cm="1">
        <f t="array" ref="G351">wet_bulb_temp(Таблица1[[#This Row],[temp]],Таблица1[[#This Row],[humidity_ratio]],Таблица1[[#This Row],[pressure_kpa]])</f>
        <v>10.96151932284705</v>
      </c>
      <c r="H351" s="5" cm="1">
        <f t="array" ref="H351">wet_bulb_temp_simple(Таблица1[[#This Row],[temp]],Таблица1[[#This Row],[humidity]])</f>
        <v>10.804941515464222</v>
      </c>
      <c r="I351" s="5">
        <f>IF(Таблица1[[#This Row],[wet_bulb_thermo]]+$F$1&lt;20,20,Таблица1[[#This Row],[wet_bulb_thermo]]+$F$1)</f>
        <v>20.96151932284705</v>
      </c>
      <c r="J351" s="9">
        <f>Таблица1[[#This Row],[Tcold]]+$I$1</f>
        <v>30.96151932284705</v>
      </c>
      <c r="K351" s="12" cm="1">
        <f t="array" ref="K351">evaporation(Таблица1[[#This Row],[Thot]],Таблица1[[#This Row],[Tcold]],Таблица1[[#This Row],[temp]],Таблица1[[#This Row],[humidity_ratio]],Таблица1[[#This Row],[pressure_kpa]])/$I$1</f>
        <v>1.3395977234298797E-3</v>
      </c>
      <c r="L351">
        <f>MONTH(Таблица1[[#This Row],[date]])</f>
        <v>12</v>
      </c>
      <c r="M351" t="str">
        <f>IF(AND(Таблица1[[#This Row],[month]]&gt;3, Таблица1[[#This Row],[month]]&lt;11),"SUMMER","WINTER")</f>
        <v>WINTER</v>
      </c>
    </row>
    <row r="352" spans="1:13" x14ac:dyDescent="0.25">
      <c r="A352" s="2">
        <v>44534</v>
      </c>
      <c r="B352" s="5">
        <v>15.887499999999999</v>
      </c>
      <c r="C352" s="5">
        <v>762.66250000000002</v>
      </c>
      <c r="D352" s="5">
        <v>44.75</v>
      </c>
      <c r="E352" s="5">
        <f>Таблица1[[#This Row],[pressure]]/760*101325</f>
        <v>101679.97080592105</v>
      </c>
      <c r="F352" s="7">
        <f>Таблица1[[#This Row],[humidity]]/100</f>
        <v>0.44750000000000001</v>
      </c>
      <c r="G352" s="5" cm="1">
        <f t="array" ref="G352">wet_bulb_temp(Таблица1[[#This Row],[temp]],Таблица1[[#This Row],[humidity_ratio]],Таблица1[[#This Row],[pressure_kpa]])</f>
        <v>9.6986826995259161</v>
      </c>
      <c r="H352" s="5" cm="1">
        <f t="array" ref="H352">wet_bulb_temp_simple(Таблица1[[#This Row],[temp]],Таблица1[[#This Row],[humidity]])</f>
        <v>9.5460923893477041</v>
      </c>
      <c r="I352" s="5">
        <f>IF(Таблица1[[#This Row],[wet_bulb_thermo]]+$F$1&lt;20,20,Таблица1[[#This Row],[wet_bulb_thermo]]+$F$1)</f>
        <v>20</v>
      </c>
      <c r="J352" s="9">
        <f>Таблица1[[#This Row],[Tcold]]+$I$1</f>
        <v>30</v>
      </c>
      <c r="K352" s="12" cm="1">
        <f t="array" ref="K352">evaporation(Таблица1[[#This Row],[Thot]],Таблица1[[#This Row],[Tcold]],Таблица1[[#This Row],[temp]],Таблица1[[#This Row],[humidity_ratio]],Таблица1[[#This Row],[pressure_kpa]])/$I$1</f>
        <v>1.337067126294783E-3</v>
      </c>
      <c r="L352">
        <f>MONTH(Таблица1[[#This Row],[date]])</f>
        <v>12</v>
      </c>
      <c r="M352" t="str">
        <f>IF(AND(Таблица1[[#This Row],[month]]&gt;3, Таблица1[[#This Row],[month]]&lt;11),"SUMMER","WINTER")</f>
        <v>WINTER</v>
      </c>
    </row>
    <row r="353" spans="1:13" x14ac:dyDescent="0.25">
      <c r="A353" s="2">
        <v>44535</v>
      </c>
      <c r="B353" s="5">
        <v>15.95</v>
      </c>
      <c r="C353" s="5">
        <v>761.625</v>
      </c>
      <c r="D353" s="5">
        <v>44.625</v>
      </c>
      <c r="E353" s="5">
        <f>Таблица1[[#This Row],[pressure]]/760*101325</f>
        <v>101541.64884868421</v>
      </c>
      <c r="F353" s="7">
        <f>Таблица1[[#This Row],[humidity]]/100</f>
        <v>0.44624999999999998</v>
      </c>
      <c r="G353" s="5" cm="1">
        <f t="array" ref="G353">wet_bulb_temp(Таблица1[[#This Row],[temp]],Таблица1[[#This Row],[humidity_ratio]],Таблица1[[#This Row],[pressure_kpa]])</f>
        <v>9.7402837985253772</v>
      </c>
      <c r="H353" s="5" cm="1">
        <f t="array" ref="H353">wet_bulb_temp_simple(Таблица1[[#This Row],[temp]],Таблица1[[#This Row],[humidity]])</f>
        <v>9.5834754228246926</v>
      </c>
      <c r="I353" s="5">
        <f>IF(Таблица1[[#This Row],[wet_bulb_thermo]]+$F$1&lt;20,20,Таблица1[[#This Row],[wet_bulb_thermo]]+$F$1)</f>
        <v>20</v>
      </c>
      <c r="J353" s="9">
        <f>Таблица1[[#This Row],[Tcold]]+$I$1</f>
        <v>30</v>
      </c>
      <c r="K353" s="12" cm="1">
        <f t="array" ref="K353">evaporation(Таблица1[[#This Row],[Thot]],Таблица1[[#This Row],[Tcold]],Таблица1[[#This Row],[temp]],Таблица1[[#This Row],[humidity_ratio]],Таблица1[[#This Row],[pressure_kpa]])/$I$1</f>
        <v>1.3385990126657927E-3</v>
      </c>
      <c r="L353">
        <f>MONTH(Таблица1[[#This Row],[date]])</f>
        <v>12</v>
      </c>
      <c r="M353" t="str">
        <f>IF(AND(Таблица1[[#This Row],[month]]&gt;3, Таблица1[[#This Row],[month]]&lt;11),"SUMMER","WINTER")</f>
        <v>WINTER</v>
      </c>
    </row>
    <row r="354" spans="1:13" x14ac:dyDescent="0.25">
      <c r="A354" s="2">
        <v>44536</v>
      </c>
      <c r="B354" s="5">
        <v>17.45</v>
      </c>
      <c r="C354" s="5">
        <v>760.61249999999995</v>
      </c>
      <c r="D354" s="5">
        <v>52.75</v>
      </c>
      <c r="E354" s="5">
        <f>Таблица1[[#This Row],[pressure]]/760*101325</f>
        <v>101406.65995065788</v>
      </c>
      <c r="F354" s="7">
        <f>Таблица1[[#This Row],[humidity]]/100</f>
        <v>0.52749999999999997</v>
      </c>
      <c r="G354" s="5" cm="1">
        <f t="array" ref="G354">wet_bulb_temp(Таблица1[[#This Row],[temp]],Таблица1[[#This Row],[humidity_ratio]],Таблица1[[#This Row],[pressure_kpa]])</f>
        <v>11.976902949765391</v>
      </c>
      <c r="H354" s="5" cm="1">
        <f t="array" ref="H354">wet_bulb_temp_simple(Таблица1[[#This Row],[temp]],Таблица1[[#This Row],[humidity]])</f>
        <v>11.843739009240993</v>
      </c>
      <c r="I354" s="5">
        <f>IF(Таблица1[[#This Row],[wet_bulb_thermo]]+$F$1&lt;20,20,Таблица1[[#This Row],[wet_bulb_thermo]]+$F$1)</f>
        <v>21.976902949765389</v>
      </c>
      <c r="J354" s="9">
        <f>Таблица1[[#This Row],[Tcold]]+$I$1</f>
        <v>31.976902949765389</v>
      </c>
      <c r="K354" s="12" cm="1">
        <f t="array" ref="K354">evaporation(Таблица1[[#This Row],[Thot]],Таблица1[[#This Row],[Tcold]],Таблица1[[#This Row],[temp]],Таблица1[[#This Row],[humidity_ratio]],Таблица1[[#This Row],[pressure_kpa]])/$I$1</f>
        <v>1.3525162575365643E-3</v>
      </c>
      <c r="L354">
        <f>MONTH(Таблица1[[#This Row],[date]])</f>
        <v>12</v>
      </c>
      <c r="M354" t="str">
        <f>IF(AND(Таблица1[[#This Row],[month]]&gt;3, Таблица1[[#This Row],[month]]&lt;11),"SUMMER","WINTER")</f>
        <v>WINTER</v>
      </c>
    </row>
    <row r="355" spans="1:13" x14ac:dyDescent="0.25">
      <c r="A355" s="2">
        <v>44537</v>
      </c>
      <c r="B355" s="5">
        <v>17.149999999999999</v>
      </c>
      <c r="C355" s="5">
        <v>762.67499999999995</v>
      </c>
      <c r="D355" s="5">
        <v>54.875</v>
      </c>
      <c r="E355" s="5">
        <f>Таблица1[[#This Row],[pressure]]/760*101325</f>
        <v>101681.63733552631</v>
      </c>
      <c r="F355" s="7">
        <f>Таблица1[[#This Row],[humidity]]/100</f>
        <v>0.54874999999999996</v>
      </c>
      <c r="G355" s="5" cm="1">
        <f t="array" ref="G355">wet_bulb_temp(Таблица1[[#This Row],[temp]],Таблица1[[#This Row],[humidity_ratio]],Таблица1[[#This Row],[pressure_kpa]])</f>
        <v>11.974391356323942</v>
      </c>
      <c r="H355" s="5" cm="1">
        <f t="array" ref="H355">wet_bulb_temp_simple(Таблица1[[#This Row],[temp]],Таблица1[[#This Row],[humidity]])</f>
        <v>11.838021480995144</v>
      </c>
      <c r="I355" s="5">
        <f>IF(Таблица1[[#This Row],[wet_bulb_thermo]]+$F$1&lt;20,20,Таблица1[[#This Row],[wet_bulb_thermo]]+$F$1)</f>
        <v>21.974391356323942</v>
      </c>
      <c r="J355" s="9">
        <f>Таблица1[[#This Row],[Tcold]]+$I$1</f>
        <v>31.974391356323942</v>
      </c>
      <c r="K355" s="12" cm="1">
        <f t="array" ref="K355">evaporation(Таблица1[[#This Row],[Thot]],Таблица1[[#This Row],[Tcold]],Таблица1[[#This Row],[temp]],Таблица1[[#This Row],[humidity_ratio]],Таблица1[[#This Row],[pressure_kpa]])/$I$1</f>
        <v>1.344773202384072E-3</v>
      </c>
      <c r="L355">
        <f>MONTH(Таблица1[[#This Row],[date]])</f>
        <v>12</v>
      </c>
      <c r="M355" t="str">
        <f>IF(AND(Таблица1[[#This Row],[month]]&gt;3, Таблица1[[#This Row],[month]]&lt;11),"SUMMER","WINTER")</f>
        <v>WINTER</v>
      </c>
    </row>
    <row r="356" spans="1:13" x14ac:dyDescent="0.25">
      <c r="A356" s="2">
        <v>44538</v>
      </c>
      <c r="B356" s="5">
        <v>18</v>
      </c>
      <c r="C356" s="5">
        <v>762.67499999999995</v>
      </c>
      <c r="D356" s="5">
        <v>50</v>
      </c>
      <c r="E356" s="5">
        <f>Таблица1[[#This Row],[pressure]]/760*101325</f>
        <v>101681.63733552631</v>
      </c>
      <c r="F356" s="7">
        <f>Таблица1[[#This Row],[humidity]]/100</f>
        <v>0.5</v>
      </c>
      <c r="G356" s="5" cm="1">
        <f t="array" ref="G356">wet_bulb_temp(Таблица1[[#This Row],[temp]],Таблица1[[#This Row],[humidity_ratio]],Таблица1[[#This Row],[pressure_kpa]])</f>
        <v>12.058716694988217</v>
      </c>
      <c r="H356" s="5" cm="1">
        <f t="array" ref="H356">wet_bulb_temp_simple(Таблица1[[#This Row],[temp]],Таблица1[[#This Row],[humidity]])</f>
        <v>11.979780569172869</v>
      </c>
      <c r="I356" s="5">
        <f>IF(Таблица1[[#This Row],[wet_bulb_thermo]]+$F$1&lt;20,20,Таблица1[[#This Row],[wet_bulb_thermo]]+$F$1)</f>
        <v>22.058716694988217</v>
      </c>
      <c r="J356" s="9">
        <f>Таблица1[[#This Row],[Tcold]]+$I$1</f>
        <v>32.05871669498822</v>
      </c>
      <c r="K356" s="12" cm="1">
        <f t="array" ref="K356">evaporation(Таблица1[[#This Row],[Thot]],Таблица1[[#This Row],[Tcold]],Таблица1[[#This Row],[temp]],Таблица1[[#This Row],[humidity_ratio]],Таблица1[[#This Row],[pressure_kpa]])/$I$1</f>
        <v>1.3632763376753782E-3</v>
      </c>
      <c r="L356">
        <f>MONTH(Таблица1[[#This Row],[date]])</f>
        <v>12</v>
      </c>
      <c r="M356" t="str">
        <f>IF(AND(Таблица1[[#This Row],[month]]&gt;3, Таблица1[[#This Row],[month]]&lt;11),"SUMMER","WINTER")</f>
        <v>WINTER</v>
      </c>
    </row>
    <row r="357" spans="1:13" x14ac:dyDescent="0.25">
      <c r="A357" s="2">
        <v>44539</v>
      </c>
      <c r="B357" s="5">
        <v>18.637499999999999</v>
      </c>
      <c r="C357" s="5">
        <v>763.16250000000002</v>
      </c>
      <c r="D357" s="5">
        <v>55.875</v>
      </c>
      <c r="E357" s="5">
        <f>Таблица1[[#This Row],[pressure]]/760*101325</f>
        <v>101746.63199013157</v>
      </c>
      <c r="F357" s="7">
        <f>Таблица1[[#This Row],[humidity]]/100</f>
        <v>0.55874999999999997</v>
      </c>
      <c r="G357" s="5" cm="1">
        <f t="array" ref="G357">wet_bulb_temp(Таблица1[[#This Row],[temp]],Таблица1[[#This Row],[humidity_ratio]],Таблица1[[#This Row],[pressure_kpa]])</f>
        <v>13.344254081386609</v>
      </c>
      <c r="H357" s="5" cm="1">
        <f t="array" ref="H357">wet_bulb_temp_simple(Таблица1[[#This Row],[temp]],Таблица1[[#This Row],[humidity]])</f>
        <v>13.271833120730262</v>
      </c>
      <c r="I357" s="5">
        <f>IF(Таблица1[[#This Row],[wet_bulb_thermo]]+$F$1&lt;20,20,Таблица1[[#This Row],[wet_bulb_thermo]]+$F$1)</f>
        <v>23.344254081386609</v>
      </c>
      <c r="J357" s="9">
        <f>Таблица1[[#This Row],[Tcold]]+$I$1</f>
        <v>33.344254081386609</v>
      </c>
      <c r="K357" s="12" cm="1">
        <f t="array" ref="K357">evaporation(Таблица1[[#This Row],[Thot]],Таблица1[[#This Row],[Tcold]],Таблица1[[#This Row],[temp]],Таблица1[[#This Row],[humidity_ratio]],Таблица1[[#This Row],[pressure_kpa]])/$I$1</f>
        <v>1.3660194196350552E-3</v>
      </c>
      <c r="L357">
        <f>MONTH(Таблица1[[#This Row],[date]])</f>
        <v>12</v>
      </c>
      <c r="M357" t="str">
        <f>IF(AND(Таблица1[[#This Row],[month]]&gt;3, Таблица1[[#This Row],[month]]&lt;11),"SUMMER","WINTER")</f>
        <v>WINTER</v>
      </c>
    </row>
    <row r="358" spans="1:13" x14ac:dyDescent="0.25">
      <c r="A358" s="2">
        <v>44540</v>
      </c>
      <c r="B358" s="5">
        <v>17.4375</v>
      </c>
      <c r="C358" s="5">
        <v>764.16250000000002</v>
      </c>
      <c r="D358" s="5">
        <v>68.375</v>
      </c>
      <c r="E358" s="5">
        <f>Таблица1[[#This Row],[pressure]]/760*101325</f>
        <v>101879.95435855264</v>
      </c>
      <c r="F358" s="7">
        <f>Таблица1[[#This Row],[humidity]]/100</f>
        <v>0.68374999999999997</v>
      </c>
      <c r="G358" s="5" cm="1">
        <f t="array" ref="G358">wet_bulb_temp(Таблица1[[#This Row],[temp]],Таблица1[[#This Row],[humidity_ratio]],Таблица1[[#This Row],[pressure_kpa]])</f>
        <v>13.84054210025158</v>
      </c>
      <c r="H358" s="5" cm="1">
        <f t="array" ref="H358">wet_bulb_temp_simple(Таблица1[[#This Row],[temp]],Таблица1[[#This Row],[humidity]])</f>
        <v>13.701250079534168</v>
      </c>
      <c r="I358" s="5">
        <f>IF(Таблица1[[#This Row],[wet_bulb_thermo]]+$F$1&lt;20,20,Таблица1[[#This Row],[wet_bulb_thermo]]+$F$1)</f>
        <v>23.840542100251582</v>
      </c>
      <c r="J358" s="9">
        <f>Таблица1[[#This Row],[Tcold]]+$I$1</f>
        <v>33.840542100251582</v>
      </c>
      <c r="K358" s="12" cm="1">
        <f t="array" ref="K358">evaporation(Таблица1[[#This Row],[Thot]],Таблица1[[#This Row],[Tcold]],Таблица1[[#This Row],[temp]],Таблица1[[#This Row],[humidity_ratio]],Таблица1[[#This Row],[pressure_kpa]])/$I$1</f>
        <v>1.3364941777726893E-3</v>
      </c>
      <c r="L358">
        <f>MONTH(Таблица1[[#This Row],[date]])</f>
        <v>12</v>
      </c>
      <c r="M358" t="str">
        <f>IF(AND(Таблица1[[#This Row],[month]]&gt;3, Таблица1[[#This Row],[month]]&lt;11),"SUMMER","WINTER")</f>
        <v>WINTER</v>
      </c>
    </row>
    <row r="359" spans="1:13" x14ac:dyDescent="0.25">
      <c r="A359" s="2">
        <v>44541</v>
      </c>
      <c r="B359" s="5">
        <v>15.3375</v>
      </c>
      <c r="C359" s="5">
        <v>764.08749999999998</v>
      </c>
      <c r="D359" s="5">
        <v>64</v>
      </c>
      <c r="E359" s="5">
        <f>Таблица1[[#This Row],[pressure]]/760*101325</f>
        <v>101869.95518092105</v>
      </c>
      <c r="F359" s="7">
        <f>Таблица1[[#This Row],[humidity]]/100</f>
        <v>0.64</v>
      </c>
      <c r="G359" s="5" cm="1">
        <f t="array" ref="G359">wet_bulb_temp(Таблица1[[#This Row],[temp]],Таблица1[[#This Row],[humidity_ratio]],Таблица1[[#This Row],[pressure_kpa]])</f>
        <v>11.48315852670803</v>
      </c>
      <c r="H359" s="5" cm="1">
        <f t="array" ref="H359">wet_bulb_temp_simple(Таблица1[[#This Row],[temp]],Таблица1[[#This Row],[humidity]])</f>
        <v>11.267381283343953</v>
      </c>
      <c r="I359" s="5">
        <f>IF(Таблица1[[#This Row],[wet_bulb_thermo]]+$F$1&lt;20,20,Таблица1[[#This Row],[wet_bulb_thermo]]+$F$1)</f>
        <v>21.483158526708031</v>
      </c>
      <c r="J359" s="9">
        <f>Таблица1[[#This Row],[Tcold]]+$I$1</f>
        <v>31.483158526708031</v>
      </c>
      <c r="K359" s="12" cm="1">
        <f t="array" ref="K359">evaporation(Таблица1[[#This Row],[Thot]],Таблица1[[#This Row],[Tcold]],Таблица1[[#This Row],[temp]],Таблица1[[#This Row],[humidity_ratio]],Таблица1[[#This Row],[pressure_kpa]])/$I$1</f>
        <v>1.3064849472801997E-3</v>
      </c>
      <c r="L359">
        <f>MONTH(Таблица1[[#This Row],[date]])</f>
        <v>12</v>
      </c>
      <c r="M359" t="str">
        <f>IF(AND(Таблица1[[#This Row],[month]]&gt;3, Таблица1[[#This Row],[month]]&lt;11),"SUMMER","WINTER")</f>
        <v>WINTER</v>
      </c>
    </row>
    <row r="360" spans="1:13" x14ac:dyDescent="0.25">
      <c r="A360" s="2">
        <v>44542</v>
      </c>
      <c r="B360" s="5">
        <v>16.287500000000001</v>
      </c>
      <c r="C360" s="5">
        <v>763.53750000000002</v>
      </c>
      <c r="D360" s="5">
        <v>53.625</v>
      </c>
      <c r="E360" s="5">
        <f>Таблица1[[#This Row],[pressure]]/760*101325</f>
        <v>101796.62787828948</v>
      </c>
      <c r="F360" s="7">
        <f>Таблица1[[#This Row],[humidity]]/100</f>
        <v>0.53625</v>
      </c>
      <c r="G360" s="5" cm="1">
        <f t="array" ref="G360">wet_bulb_temp(Таблица1[[#This Row],[temp]],Таблица1[[#This Row],[humidity_ratio]],Таблица1[[#This Row],[pressure_kpa]])</f>
        <v>11.095039499906147</v>
      </c>
      <c r="H360" s="5" cm="1">
        <f t="array" ref="H360">wet_bulb_temp_simple(Таблица1[[#This Row],[temp]],Таблица1[[#This Row],[humidity]])</f>
        <v>10.933465088771612</v>
      </c>
      <c r="I360" s="5">
        <f>IF(Таблица1[[#This Row],[wet_bulb_thermo]]+$F$1&lt;20,20,Таблица1[[#This Row],[wet_bulb_thermo]]+$F$1)</f>
        <v>21.095039499906147</v>
      </c>
      <c r="J360" s="9">
        <f>Таблица1[[#This Row],[Tcold]]+$I$1</f>
        <v>31.095039499906147</v>
      </c>
      <c r="K360" s="12" cm="1">
        <f t="array" ref="K360">evaporation(Таблица1[[#This Row],[Thot]],Таблица1[[#This Row],[Tcold]],Таблица1[[#This Row],[temp]],Таблица1[[#This Row],[humidity_ratio]],Таблица1[[#This Row],[pressure_kpa]])/$I$1</f>
        <v>1.3321960496270049E-3</v>
      </c>
      <c r="L360">
        <f>MONTH(Таблица1[[#This Row],[date]])</f>
        <v>12</v>
      </c>
      <c r="M360" t="str">
        <f>IF(AND(Таблица1[[#This Row],[month]]&gt;3, Таблица1[[#This Row],[month]]&lt;11),"SUMMER","WINTER")</f>
        <v>WINTER</v>
      </c>
    </row>
    <row r="361" spans="1:13" x14ac:dyDescent="0.25">
      <c r="A361" s="2">
        <v>44543</v>
      </c>
      <c r="B361" s="5">
        <v>14.7125</v>
      </c>
      <c r="C361" s="5">
        <v>762.75</v>
      </c>
      <c r="D361" s="5">
        <v>50.625</v>
      </c>
      <c r="E361" s="5">
        <f>Таблица1[[#This Row],[pressure]]/760*101325</f>
        <v>101691.63651315789</v>
      </c>
      <c r="F361" s="7">
        <f>Таблица1[[#This Row],[humidity]]/100</f>
        <v>0.50624999999999998</v>
      </c>
      <c r="G361" s="5" cm="1">
        <f t="array" ref="G361">wet_bulb_temp(Таблица1[[#This Row],[temp]],Таблица1[[#This Row],[humidity_ratio]],Таблица1[[#This Row],[pressure_kpa]])</f>
        <v>9.4482603257354878</v>
      </c>
      <c r="H361" s="5" cm="1">
        <f t="array" ref="H361">wet_bulb_temp_simple(Таблица1[[#This Row],[temp]],Таблица1[[#This Row],[humidity]])</f>
        <v>9.2228492568137295</v>
      </c>
      <c r="I361" s="5">
        <f>IF(Таблица1[[#This Row],[wet_bulb_thermo]]+$F$1&lt;20,20,Таблица1[[#This Row],[wet_bulb_thermo]]+$F$1)</f>
        <v>20</v>
      </c>
      <c r="J361" s="9">
        <f>Таблица1[[#This Row],[Tcold]]+$I$1</f>
        <v>30</v>
      </c>
      <c r="K361" s="12" cm="1">
        <f t="array" ref="K361">evaporation(Таблица1[[#This Row],[Thot]],Таблица1[[#This Row],[Tcold]],Таблица1[[#This Row],[temp]],Таблица1[[#This Row],[humidity_ratio]],Таблица1[[#This Row],[pressure_kpa]])/$I$1</f>
        <v>1.3114366947832847E-3</v>
      </c>
      <c r="L361">
        <f>MONTH(Таблица1[[#This Row],[date]])</f>
        <v>12</v>
      </c>
      <c r="M361" t="str">
        <f>IF(AND(Таблица1[[#This Row],[month]]&gt;3, Таблица1[[#This Row],[month]]&lt;11),"SUMMER","WINTER")</f>
        <v>WINTER</v>
      </c>
    </row>
    <row r="362" spans="1:13" x14ac:dyDescent="0.25">
      <c r="A362" s="2">
        <v>44544</v>
      </c>
      <c r="B362" s="5">
        <v>9.3249999999999993</v>
      </c>
      <c r="C362" s="5">
        <v>762.25</v>
      </c>
      <c r="D362" s="5">
        <v>76.25</v>
      </c>
      <c r="E362" s="5">
        <f>Таблица1[[#This Row],[pressure]]/760*101325</f>
        <v>101624.97532894737</v>
      </c>
      <c r="F362" s="7">
        <f>Таблица1[[#This Row],[humidity]]/100</f>
        <v>0.76249999999999996</v>
      </c>
      <c r="G362" s="5" cm="1">
        <f t="array" ref="G362">wet_bulb_temp(Таблица1[[#This Row],[temp]],Таблица1[[#This Row],[humidity_ratio]],Таблица1[[#This Row],[pressure_kpa]])</f>
        <v>7.3055147495191948</v>
      </c>
      <c r="H362" s="5" cm="1">
        <f t="array" ref="H362">wet_bulb_temp_simple(Таблица1[[#This Row],[temp]],Таблица1[[#This Row],[humidity]])</f>
        <v>6.9228593122165893</v>
      </c>
      <c r="I362" s="5">
        <f>IF(Таблица1[[#This Row],[wet_bulb_thermo]]+$F$1&lt;20,20,Таблица1[[#This Row],[wet_bulb_thermo]]+$F$1)</f>
        <v>20</v>
      </c>
      <c r="J362" s="9">
        <f>Таблица1[[#This Row],[Tcold]]+$I$1</f>
        <v>30</v>
      </c>
      <c r="K362" s="12" cm="1">
        <f t="array" ref="K362">evaporation(Таблица1[[#This Row],[Thot]],Таблица1[[#This Row],[Tcold]],Таблица1[[#This Row],[temp]],Таблица1[[#This Row],[humidity_ratio]],Таблица1[[#This Row],[pressure_kpa]])/$I$1</f>
        <v>1.2128321278073123E-3</v>
      </c>
      <c r="L362">
        <f>MONTH(Таблица1[[#This Row],[date]])</f>
        <v>12</v>
      </c>
      <c r="M362" t="str">
        <f>IF(AND(Таблица1[[#This Row],[month]]&gt;3, Таблица1[[#This Row],[month]]&lt;11),"SUMMER","WINTER")</f>
        <v>WINTER</v>
      </c>
    </row>
    <row r="363" spans="1:13" x14ac:dyDescent="0.25">
      <c r="A363" s="2">
        <v>44548</v>
      </c>
      <c r="B363" s="5">
        <v>18.850000000000001</v>
      </c>
      <c r="C363" s="5">
        <v>759.57500000000005</v>
      </c>
      <c r="D363" s="5">
        <v>88.25</v>
      </c>
      <c r="E363" s="5">
        <f>Таблица1[[#This Row],[pressure]]/760*101325</f>
        <v>101268.33799342107</v>
      </c>
      <c r="F363" s="7">
        <f>Таблица1[[#This Row],[humidity]]/100</f>
        <v>0.88249999999999995</v>
      </c>
      <c r="G363" s="5" cm="1">
        <f t="array" ref="G363">wet_bulb_temp(Таблица1[[#This Row],[temp]],Таблица1[[#This Row],[humidity_ratio]],Таблица1[[#This Row],[pressure_kpa]])</f>
        <v>17.524662062788991</v>
      </c>
      <c r="H363" s="5" cm="1">
        <f t="array" ref="H363">wet_bulb_temp_simple(Таблица1[[#This Row],[temp]],Таблица1[[#This Row],[humidity]])</f>
        <v>17.424889083714863</v>
      </c>
      <c r="I363" s="5">
        <f>IF(Таблица1[[#This Row],[wet_bulb_thermo]]+$F$1&lt;20,20,Таблица1[[#This Row],[wet_bulb_thermo]]+$F$1)</f>
        <v>27.524662062788991</v>
      </c>
      <c r="J363" s="9">
        <f>Таблица1[[#This Row],[Tcold]]+$I$1</f>
        <v>37.524662062788991</v>
      </c>
      <c r="K363" s="12" cm="1">
        <f t="array" ref="K363">evaporation(Таблица1[[#This Row],[Thot]],Таблица1[[#This Row],[Tcold]],Таблица1[[#This Row],[temp]],Таблица1[[#This Row],[humidity_ratio]],Таблица1[[#This Row],[pressure_kpa]])/$I$1</f>
        <v>1.3494586417674525E-3</v>
      </c>
      <c r="L363">
        <f>MONTH(Таблица1[[#This Row],[date]])</f>
        <v>12</v>
      </c>
      <c r="M363" t="str">
        <f>IF(AND(Таблица1[[#This Row],[month]]&gt;3, Таблица1[[#This Row],[month]]&lt;11),"SUMMER","WINTER")</f>
        <v>WINTER</v>
      </c>
    </row>
    <row r="364" spans="1:13" x14ac:dyDescent="0.25">
      <c r="A364" s="2">
        <v>44549</v>
      </c>
      <c r="B364" s="5">
        <v>16.828571428571429</v>
      </c>
      <c r="C364" s="5">
        <v>761.48571428571427</v>
      </c>
      <c r="D364" s="5">
        <v>94.142857142857139</v>
      </c>
      <c r="E364" s="5">
        <f>Таблица1[[#This Row],[pressure]]/760*101325</f>
        <v>101523.07894736841</v>
      </c>
      <c r="F364" s="7">
        <f>Таблица1[[#This Row],[humidity]]/100</f>
        <v>0.94142857142857139</v>
      </c>
      <c r="G364" s="5" cm="1">
        <f t="array" ref="G364">wet_bulb_temp(Таблица1[[#This Row],[temp]],Таблица1[[#This Row],[humidity_ratio]],Таблица1[[#This Row],[pressure_kpa]])</f>
        <v>16.181396527875265</v>
      </c>
      <c r="H364" s="5" cm="1">
        <f t="array" ref="H364">wet_bulb_temp_simple(Таблица1[[#This Row],[temp]],Таблица1[[#This Row],[humidity]])</f>
        <v>16.129393046248797</v>
      </c>
      <c r="I364" s="5">
        <f>IF(Таблица1[[#This Row],[wet_bulb_thermo]]+$F$1&lt;20,20,Таблица1[[#This Row],[wet_bulb_thermo]]+$F$1)</f>
        <v>26.181396527875265</v>
      </c>
      <c r="J364" s="9">
        <f>Таблица1[[#This Row],[Tcold]]+$I$1</f>
        <v>36.181396527875265</v>
      </c>
      <c r="K364" s="12" cm="1">
        <f t="array" ref="K364">evaporation(Таблица1[[#This Row],[Thot]],Таблица1[[#This Row],[Tcold]],Таблица1[[#This Row],[temp]],Таблица1[[#This Row],[humidity_ratio]],Таблица1[[#This Row],[pressure_kpa]])/$I$1</f>
        <v>1.3151509438440886E-3</v>
      </c>
      <c r="L364">
        <f>MONTH(Таблица1[[#This Row],[date]])</f>
        <v>12</v>
      </c>
      <c r="M364" t="str">
        <f>IF(AND(Таблица1[[#This Row],[month]]&gt;3, Таблица1[[#This Row],[month]]&lt;11),"SUMMER","WINTER")</f>
        <v>WINTER</v>
      </c>
    </row>
  </sheetData>
  <hyperlinks>
    <hyperlink ref="B1" r:id="rId1" display="https://rp5.ru/%D0%90%D1%80%D1%85%D0%B8%D0%B2_%D0%BF%D0%BE%D0%B3%D0%BE%D0%B4%D1%8B_%D0%B2_%D0%90%D1%85%D0%B2%D0%B0%D0%B7%D0%B5_(%D0%B0%D1%8D%D1%80%D0%BE%D0%BF%D0%BE%D1%80%D1%82)" xr:uid="{84EDDCB2-B544-4A9D-AAE2-559374D2F359}"/>
  </hyperlinks>
  <pageMargins left="0.7" right="0.7" top="0.75" bottom="0.75" header="0.3" footer="0.3"/>
  <pageSetup paperSize="9" orientation="portrait" horizontalDpi="0" verticalDpi="0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Model </vt:lpstr>
      <vt:lpstr>Model control pH</vt:lpstr>
      <vt:lpstr>Weather_data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Dmitri Babaev</dc:creator>
  <cp:lastModifiedBy>Dmitri Babaev</cp:lastModifiedBy>
  <dcterms:created xsi:type="dcterms:W3CDTF">2021-12-20T10:12:15Z</dcterms:created>
  <dcterms:modified xsi:type="dcterms:W3CDTF">2021-12-20T12:07:10Z</dcterms:modified>
</cp:coreProperties>
</file>